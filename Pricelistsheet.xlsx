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doc-api\"/>
    </mc:Choice>
  </mc:AlternateContent>
  <xr:revisionPtr revIDLastSave="0" documentId="13_ncr:1_{2FAE05D1-6BBE-4DB9-B9B2-770922DEA3A3}" xr6:coauthVersionLast="47" xr6:coauthVersionMax="47" xr10:uidLastSave="{00000000-0000-0000-0000-000000000000}"/>
  <bookViews>
    <workbookView xWindow="-120" yWindow="-120" windowWidth="20730" windowHeight="11040" xr2:uid="{83578CF0-578E-4933-B9BB-46A9A3F8F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4" i="1" l="1"/>
  <c r="E444" i="1"/>
  <c r="D444" i="1"/>
  <c r="C444" i="1"/>
  <c r="F443" i="1"/>
  <c r="E443" i="1"/>
  <c r="D443" i="1"/>
  <c r="C443" i="1"/>
  <c r="F442" i="1"/>
  <c r="E442" i="1"/>
  <c r="D442" i="1"/>
  <c r="C442" i="1"/>
  <c r="F441" i="1"/>
  <c r="E441" i="1"/>
  <c r="D441" i="1"/>
  <c r="C441" i="1"/>
  <c r="F440" i="1"/>
  <c r="E440" i="1"/>
  <c r="D440" i="1"/>
  <c r="C440" i="1"/>
  <c r="F439" i="1"/>
  <c r="E439" i="1"/>
  <c r="D439" i="1"/>
  <c r="C439" i="1"/>
  <c r="F438" i="1"/>
  <c r="E438" i="1"/>
  <c r="D438" i="1"/>
  <c r="C438" i="1"/>
  <c r="F437" i="1"/>
  <c r="E437" i="1"/>
  <c r="D437" i="1"/>
  <c r="C437" i="1"/>
  <c r="F436" i="1"/>
  <c r="E436" i="1"/>
  <c r="D436" i="1"/>
  <c r="C436" i="1"/>
  <c r="F435" i="1"/>
  <c r="E435" i="1"/>
  <c r="D435" i="1"/>
  <c r="C435" i="1"/>
  <c r="F434" i="1"/>
  <c r="E434" i="1"/>
  <c r="D434" i="1"/>
  <c r="C434" i="1"/>
  <c r="F433" i="1"/>
  <c r="E433" i="1"/>
  <c r="D433" i="1"/>
  <c r="C433" i="1"/>
  <c r="F432" i="1"/>
  <c r="E432" i="1"/>
  <c r="D432" i="1"/>
  <c r="C432" i="1"/>
  <c r="F431" i="1"/>
  <c r="E431" i="1"/>
  <c r="D431" i="1"/>
  <c r="C431" i="1"/>
  <c r="F430" i="1"/>
  <c r="E430" i="1"/>
  <c r="D430" i="1"/>
  <c r="C430" i="1"/>
  <c r="F429" i="1"/>
  <c r="E429" i="1"/>
  <c r="D429" i="1"/>
  <c r="C429" i="1"/>
  <c r="F428" i="1"/>
  <c r="E428" i="1"/>
  <c r="D428" i="1"/>
  <c r="C428" i="1"/>
  <c r="F427" i="1"/>
  <c r="E427" i="1"/>
  <c r="D427" i="1"/>
  <c r="C427" i="1"/>
  <c r="F426" i="1"/>
  <c r="E426" i="1"/>
  <c r="D426" i="1"/>
  <c r="C426" i="1"/>
  <c r="F425" i="1"/>
  <c r="E425" i="1"/>
  <c r="D425" i="1"/>
  <c r="C425" i="1"/>
  <c r="F424" i="1"/>
  <c r="E424" i="1"/>
  <c r="D424" i="1"/>
  <c r="C424" i="1"/>
  <c r="F423" i="1"/>
  <c r="E423" i="1"/>
  <c r="D423" i="1"/>
  <c r="C423" i="1"/>
  <c r="F422" i="1"/>
  <c r="E422" i="1"/>
  <c r="D422" i="1"/>
  <c r="C422" i="1"/>
  <c r="F421" i="1"/>
  <c r="E421" i="1"/>
  <c r="D421" i="1"/>
  <c r="C421" i="1"/>
  <c r="F420" i="1"/>
  <c r="E420" i="1"/>
  <c r="D420" i="1"/>
  <c r="C420" i="1"/>
  <c r="F419" i="1"/>
  <c r="E419" i="1"/>
  <c r="D419" i="1"/>
  <c r="C419" i="1"/>
  <c r="F418" i="1"/>
  <c r="E418" i="1"/>
  <c r="D418" i="1"/>
  <c r="C418" i="1"/>
  <c r="F417" i="1"/>
  <c r="E417" i="1"/>
  <c r="D417" i="1"/>
  <c r="C417" i="1"/>
  <c r="F416" i="1"/>
  <c r="E416" i="1"/>
  <c r="D416" i="1"/>
  <c r="C416" i="1"/>
  <c r="F415" i="1"/>
  <c r="E415" i="1"/>
  <c r="D415" i="1"/>
  <c r="C415" i="1"/>
  <c r="F414" i="1"/>
  <c r="E414" i="1"/>
  <c r="D414" i="1"/>
  <c r="C414" i="1"/>
  <c r="F413" i="1"/>
  <c r="E413" i="1"/>
  <c r="D413" i="1"/>
  <c r="C413" i="1"/>
  <c r="F412" i="1"/>
  <c r="E412" i="1"/>
  <c r="D412" i="1"/>
  <c r="C412" i="1"/>
  <c r="F411" i="1"/>
  <c r="E411" i="1"/>
  <c r="D411" i="1"/>
  <c r="C411" i="1"/>
  <c r="F410" i="1"/>
  <c r="E410" i="1"/>
  <c r="D410" i="1"/>
  <c r="C410" i="1"/>
  <c r="F409" i="1"/>
  <c r="E409" i="1"/>
  <c r="D409" i="1"/>
  <c r="C409" i="1"/>
  <c r="F408" i="1"/>
  <c r="E408" i="1"/>
  <c r="D408" i="1"/>
  <c r="C408" i="1"/>
  <c r="F407" i="1"/>
  <c r="E407" i="1"/>
  <c r="D407" i="1"/>
  <c r="C407" i="1"/>
  <c r="F406" i="1"/>
  <c r="E406" i="1"/>
  <c r="D406" i="1"/>
  <c r="C406" i="1"/>
  <c r="F405" i="1"/>
  <c r="E405" i="1"/>
  <c r="D405" i="1"/>
  <c r="C405" i="1"/>
  <c r="F404" i="1"/>
  <c r="E404" i="1"/>
  <c r="D404" i="1"/>
  <c r="C404" i="1"/>
  <c r="F403" i="1"/>
  <c r="E403" i="1"/>
  <c r="D403" i="1"/>
  <c r="C403" i="1"/>
  <c r="F402" i="1"/>
  <c r="E402" i="1"/>
  <c r="D402" i="1"/>
  <c r="C402" i="1"/>
  <c r="F401" i="1"/>
  <c r="E401" i="1"/>
  <c r="D401" i="1"/>
  <c r="C401" i="1"/>
  <c r="F400" i="1"/>
  <c r="E400" i="1"/>
  <c r="D400" i="1"/>
  <c r="C400" i="1"/>
  <c r="F399" i="1"/>
  <c r="E399" i="1"/>
  <c r="D399" i="1"/>
  <c r="C399" i="1"/>
  <c r="F398" i="1"/>
  <c r="E398" i="1"/>
  <c r="D398" i="1"/>
  <c r="C398" i="1"/>
  <c r="F397" i="1"/>
  <c r="E397" i="1"/>
  <c r="D397" i="1"/>
  <c r="C397" i="1"/>
  <c r="F396" i="1"/>
  <c r="E396" i="1"/>
  <c r="D396" i="1"/>
  <c r="C396" i="1"/>
  <c r="F395" i="1"/>
  <c r="E395" i="1"/>
  <c r="D395" i="1"/>
  <c r="C395" i="1"/>
  <c r="F394" i="1"/>
  <c r="E394" i="1"/>
  <c r="D394" i="1"/>
  <c r="C394" i="1"/>
  <c r="F393" i="1"/>
  <c r="E393" i="1"/>
  <c r="D393" i="1"/>
  <c r="C393" i="1"/>
  <c r="F392" i="1"/>
  <c r="E392" i="1"/>
  <c r="D392" i="1"/>
  <c r="C392" i="1"/>
  <c r="F391" i="1"/>
  <c r="E391" i="1"/>
  <c r="D391" i="1"/>
  <c r="C391" i="1"/>
  <c r="F390" i="1"/>
  <c r="E390" i="1"/>
  <c r="D390" i="1"/>
  <c r="C390" i="1"/>
  <c r="F389" i="1"/>
  <c r="E389" i="1"/>
  <c r="D389" i="1"/>
  <c r="C389" i="1"/>
  <c r="F388" i="1"/>
  <c r="E388" i="1"/>
  <c r="D388" i="1"/>
  <c r="C388" i="1"/>
  <c r="F387" i="1"/>
  <c r="E387" i="1"/>
  <c r="D387" i="1"/>
  <c r="C387" i="1"/>
  <c r="F386" i="1"/>
  <c r="E386" i="1"/>
  <c r="D386" i="1"/>
  <c r="C386" i="1"/>
  <c r="F385" i="1"/>
  <c r="E385" i="1"/>
  <c r="D385" i="1"/>
  <c r="C385" i="1"/>
  <c r="F384" i="1"/>
  <c r="E384" i="1"/>
  <c r="D384" i="1"/>
  <c r="C384" i="1"/>
  <c r="F383" i="1"/>
  <c r="E383" i="1"/>
  <c r="D383" i="1"/>
  <c r="C383" i="1"/>
  <c r="F382" i="1"/>
  <c r="E382" i="1"/>
  <c r="D382" i="1"/>
  <c r="C382" i="1"/>
  <c r="F381" i="1"/>
  <c r="E381" i="1"/>
  <c r="D381" i="1"/>
  <c r="C381" i="1"/>
  <c r="F380" i="1"/>
  <c r="E380" i="1"/>
  <c r="D380" i="1"/>
  <c r="C380" i="1"/>
  <c r="F379" i="1"/>
  <c r="E379" i="1"/>
  <c r="D379" i="1"/>
  <c r="C379" i="1"/>
  <c r="F378" i="1"/>
  <c r="E378" i="1"/>
  <c r="D378" i="1"/>
  <c r="C378" i="1"/>
  <c r="F377" i="1"/>
  <c r="E377" i="1"/>
  <c r="D377" i="1"/>
  <c r="C377" i="1"/>
  <c r="F376" i="1"/>
  <c r="E376" i="1"/>
  <c r="D376" i="1"/>
  <c r="C376" i="1"/>
  <c r="F375" i="1"/>
  <c r="E375" i="1"/>
  <c r="D375" i="1"/>
  <c r="C375" i="1"/>
  <c r="F374" i="1"/>
  <c r="E374" i="1"/>
  <c r="D374" i="1"/>
  <c r="C374" i="1"/>
  <c r="F373" i="1"/>
  <c r="E373" i="1"/>
  <c r="D373" i="1"/>
  <c r="C373" i="1"/>
  <c r="F372" i="1"/>
  <c r="E372" i="1"/>
  <c r="D372" i="1"/>
  <c r="C372" i="1"/>
  <c r="F371" i="1"/>
  <c r="E371" i="1"/>
  <c r="D371" i="1"/>
  <c r="C371" i="1"/>
  <c r="F370" i="1"/>
  <c r="E370" i="1"/>
  <c r="D370" i="1"/>
  <c r="C370" i="1"/>
  <c r="F369" i="1"/>
  <c r="E369" i="1"/>
  <c r="D369" i="1"/>
  <c r="C369" i="1"/>
  <c r="F368" i="1"/>
  <c r="E368" i="1"/>
  <c r="D368" i="1"/>
  <c r="C368" i="1"/>
  <c r="F367" i="1"/>
  <c r="E367" i="1"/>
  <c r="D367" i="1"/>
  <c r="C367" i="1"/>
  <c r="F366" i="1"/>
  <c r="E366" i="1"/>
  <c r="D366" i="1"/>
  <c r="C366" i="1"/>
  <c r="F365" i="1"/>
  <c r="E365" i="1"/>
  <c r="D365" i="1"/>
  <c r="C365" i="1"/>
  <c r="F364" i="1"/>
  <c r="E364" i="1"/>
  <c r="D364" i="1"/>
  <c r="C364" i="1"/>
  <c r="F363" i="1"/>
  <c r="E363" i="1"/>
  <c r="D363" i="1"/>
  <c r="C363" i="1"/>
  <c r="F362" i="1"/>
  <c r="E362" i="1"/>
  <c r="D362" i="1"/>
  <c r="C362" i="1"/>
  <c r="F361" i="1"/>
  <c r="E361" i="1"/>
  <c r="D361" i="1"/>
  <c r="C361" i="1"/>
  <c r="F360" i="1"/>
  <c r="E360" i="1"/>
  <c r="D360" i="1"/>
  <c r="C360" i="1"/>
  <c r="F359" i="1"/>
  <c r="E359" i="1"/>
  <c r="D359" i="1"/>
  <c r="C359" i="1"/>
  <c r="F358" i="1"/>
  <c r="E358" i="1"/>
  <c r="D358" i="1"/>
  <c r="C358" i="1"/>
  <c r="F357" i="1"/>
  <c r="E357" i="1"/>
  <c r="D357" i="1"/>
  <c r="C357" i="1"/>
  <c r="F356" i="1"/>
  <c r="E356" i="1"/>
  <c r="D356" i="1"/>
  <c r="C356" i="1"/>
  <c r="F355" i="1"/>
  <c r="E355" i="1"/>
  <c r="D355" i="1"/>
  <c r="C355" i="1"/>
  <c r="F354" i="1"/>
  <c r="E354" i="1"/>
  <c r="D354" i="1"/>
  <c r="C354" i="1"/>
  <c r="F353" i="1"/>
  <c r="E353" i="1"/>
  <c r="D353" i="1"/>
  <c r="C353" i="1"/>
  <c r="F352" i="1"/>
  <c r="E352" i="1"/>
  <c r="D352" i="1"/>
  <c r="C352" i="1"/>
  <c r="F351" i="1"/>
  <c r="E351" i="1"/>
  <c r="D351" i="1"/>
  <c r="C351" i="1"/>
  <c r="F350" i="1"/>
  <c r="E350" i="1"/>
  <c r="D350" i="1"/>
  <c r="C350" i="1"/>
  <c r="F349" i="1"/>
  <c r="E349" i="1"/>
  <c r="D349" i="1"/>
  <c r="C349" i="1"/>
  <c r="F348" i="1"/>
  <c r="E348" i="1"/>
  <c r="D348" i="1"/>
  <c r="C348" i="1"/>
  <c r="F347" i="1"/>
  <c r="E347" i="1"/>
  <c r="D347" i="1"/>
  <c r="C347" i="1"/>
  <c r="F346" i="1"/>
  <c r="E346" i="1"/>
  <c r="D346" i="1"/>
  <c r="C346" i="1"/>
  <c r="F345" i="1"/>
  <c r="E345" i="1"/>
  <c r="D345" i="1"/>
  <c r="C345" i="1"/>
  <c r="F344" i="1"/>
  <c r="E344" i="1"/>
  <c r="D344" i="1"/>
  <c r="C344" i="1"/>
  <c r="F343" i="1"/>
  <c r="E343" i="1"/>
  <c r="D343" i="1"/>
  <c r="C343" i="1"/>
  <c r="F342" i="1"/>
  <c r="E342" i="1"/>
  <c r="D342" i="1"/>
  <c r="C342" i="1"/>
  <c r="F341" i="1"/>
  <c r="E341" i="1"/>
  <c r="D341" i="1"/>
  <c r="C341" i="1"/>
  <c r="F340" i="1"/>
  <c r="E340" i="1"/>
  <c r="D340" i="1"/>
  <c r="C340" i="1"/>
  <c r="F339" i="1"/>
  <c r="E339" i="1"/>
  <c r="D339" i="1"/>
  <c r="C339" i="1"/>
  <c r="F338" i="1"/>
  <c r="E338" i="1"/>
  <c r="D338" i="1"/>
  <c r="C338" i="1"/>
  <c r="F337" i="1"/>
  <c r="E337" i="1"/>
  <c r="D337" i="1"/>
  <c r="C337" i="1"/>
  <c r="F336" i="1"/>
  <c r="E336" i="1"/>
  <c r="D336" i="1"/>
  <c r="C336" i="1"/>
  <c r="F335" i="1"/>
  <c r="E335" i="1"/>
  <c r="D335" i="1"/>
  <c r="C335" i="1"/>
  <c r="F334" i="1"/>
  <c r="E334" i="1"/>
  <c r="D334" i="1"/>
  <c r="C334" i="1"/>
  <c r="F333" i="1"/>
  <c r="E333" i="1"/>
  <c r="D333" i="1"/>
  <c r="C333" i="1"/>
  <c r="F332" i="1"/>
  <c r="E332" i="1"/>
  <c r="D332" i="1"/>
  <c r="C332" i="1"/>
  <c r="F331" i="1"/>
  <c r="E331" i="1"/>
  <c r="D331" i="1"/>
  <c r="C331" i="1"/>
  <c r="F330" i="1"/>
  <c r="E330" i="1"/>
  <c r="D330" i="1"/>
  <c r="C330" i="1"/>
  <c r="F329" i="1"/>
  <c r="E329" i="1"/>
  <c r="D329" i="1"/>
  <c r="C329" i="1"/>
  <c r="F328" i="1"/>
  <c r="E328" i="1"/>
  <c r="D328" i="1"/>
  <c r="C328" i="1"/>
  <c r="F327" i="1"/>
  <c r="E327" i="1"/>
  <c r="D327" i="1"/>
  <c r="C327" i="1"/>
  <c r="F326" i="1"/>
  <c r="E326" i="1"/>
  <c r="D326" i="1"/>
  <c r="C326" i="1"/>
  <c r="F325" i="1"/>
  <c r="E325" i="1"/>
  <c r="D325" i="1"/>
  <c r="C325" i="1"/>
  <c r="F324" i="1"/>
  <c r="E324" i="1"/>
  <c r="D324" i="1"/>
  <c r="C324" i="1"/>
  <c r="F323" i="1"/>
  <c r="E323" i="1"/>
  <c r="D323" i="1"/>
  <c r="C323" i="1"/>
  <c r="F322" i="1"/>
  <c r="E322" i="1"/>
  <c r="D322" i="1"/>
  <c r="C322" i="1"/>
  <c r="F321" i="1"/>
  <c r="E321" i="1"/>
  <c r="D321" i="1"/>
  <c r="C321" i="1"/>
  <c r="F320" i="1"/>
  <c r="E320" i="1"/>
  <c r="D320" i="1"/>
  <c r="C320" i="1"/>
  <c r="F319" i="1"/>
  <c r="E319" i="1"/>
  <c r="D319" i="1"/>
  <c r="C319" i="1"/>
  <c r="F318" i="1"/>
  <c r="E318" i="1"/>
  <c r="D318" i="1"/>
  <c r="C318" i="1"/>
  <c r="F317" i="1"/>
  <c r="E317" i="1"/>
  <c r="D317" i="1"/>
  <c r="C317" i="1"/>
  <c r="F316" i="1"/>
  <c r="E316" i="1"/>
  <c r="D316" i="1"/>
  <c r="C316" i="1"/>
  <c r="F315" i="1"/>
  <c r="E315" i="1"/>
  <c r="D315" i="1"/>
  <c r="C315" i="1"/>
  <c r="F314" i="1"/>
  <c r="E314" i="1"/>
  <c r="D314" i="1"/>
  <c r="C314" i="1"/>
  <c r="F313" i="1"/>
  <c r="E313" i="1"/>
  <c r="D313" i="1"/>
  <c r="C313" i="1"/>
  <c r="F312" i="1"/>
  <c r="E312" i="1"/>
  <c r="D312" i="1"/>
  <c r="C312" i="1"/>
  <c r="F311" i="1"/>
  <c r="E311" i="1"/>
  <c r="D311" i="1"/>
  <c r="C311" i="1"/>
  <c r="F310" i="1"/>
  <c r="E310" i="1"/>
  <c r="D310" i="1"/>
  <c r="C310" i="1"/>
  <c r="F309" i="1"/>
  <c r="E309" i="1"/>
  <c r="D309" i="1"/>
  <c r="C309" i="1"/>
  <c r="F308" i="1"/>
  <c r="E308" i="1"/>
  <c r="D308" i="1"/>
  <c r="C308" i="1"/>
  <c r="F307" i="1"/>
  <c r="E307" i="1"/>
  <c r="D307" i="1"/>
  <c r="C307" i="1"/>
  <c r="F306" i="1"/>
  <c r="E306" i="1"/>
  <c r="D306" i="1"/>
  <c r="C306" i="1"/>
  <c r="F305" i="1"/>
  <c r="E305" i="1"/>
  <c r="D305" i="1"/>
  <c r="C305" i="1"/>
  <c r="F304" i="1"/>
  <c r="E304" i="1"/>
  <c r="D304" i="1"/>
  <c r="C304" i="1"/>
  <c r="F303" i="1"/>
  <c r="E303" i="1"/>
  <c r="D303" i="1"/>
  <c r="C303" i="1"/>
  <c r="F302" i="1"/>
  <c r="E302" i="1"/>
  <c r="D302" i="1"/>
  <c r="C302" i="1"/>
  <c r="F301" i="1"/>
  <c r="E301" i="1"/>
  <c r="D301" i="1"/>
  <c r="C301" i="1"/>
  <c r="F300" i="1"/>
  <c r="E300" i="1"/>
  <c r="D300" i="1"/>
  <c r="C300" i="1"/>
  <c r="F299" i="1"/>
  <c r="E299" i="1"/>
  <c r="D299" i="1"/>
  <c r="C299" i="1"/>
  <c r="F298" i="1"/>
  <c r="E298" i="1"/>
  <c r="D298" i="1"/>
  <c r="C298" i="1"/>
  <c r="F297" i="1"/>
  <c r="E297" i="1"/>
  <c r="D297" i="1"/>
  <c r="C297" i="1"/>
  <c r="F296" i="1"/>
  <c r="E296" i="1"/>
  <c r="D296" i="1"/>
  <c r="C296" i="1"/>
  <c r="F295" i="1"/>
  <c r="E295" i="1"/>
  <c r="D295" i="1"/>
  <c r="C295" i="1"/>
  <c r="F294" i="1"/>
  <c r="E294" i="1"/>
  <c r="D294" i="1"/>
  <c r="C294" i="1"/>
  <c r="F293" i="1"/>
  <c r="E293" i="1"/>
  <c r="D293" i="1"/>
  <c r="C293" i="1"/>
  <c r="F292" i="1"/>
  <c r="E292" i="1"/>
  <c r="D292" i="1"/>
  <c r="C292" i="1"/>
  <c r="F291" i="1"/>
  <c r="E291" i="1"/>
  <c r="D291" i="1"/>
  <c r="C291" i="1"/>
  <c r="F290" i="1"/>
  <c r="E290" i="1"/>
  <c r="D290" i="1"/>
  <c r="C290" i="1"/>
  <c r="F289" i="1"/>
  <c r="E289" i="1"/>
  <c r="D289" i="1"/>
  <c r="C289" i="1"/>
  <c r="F288" i="1"/>
  <c r="E288" i="1"/>
  <c r="D288" i="1"/>
  <c r="C288" i="1"/>
  <c r="F287" i="1"/>
  <c r="E287" i="1"/>
  <c r="D287" i="1"/>
  <c r="C287" i="1"/>
  <c r="F286" i="1"/>
  <c r="E286" i="1"/>
  <c r="D286" i="1"/>
  <c r="C286" i="1"/>
  <c r="F285" i="1"/>
  <c r="E285" i="1"/>
  <c r="D285" i="1"/>
  <c r="C285" i="1"/>
  <c r="F284" i="1"/>
  <c r="E284" i="1"/>
  <c r="D284" i="1"/>
  <c r="C284" i="1"/>
  <c r="F283" i="1"/>
  <c r="E283" i="1"/>
  <c r="D283" i="1"/>
  <c r="C283" i="1"/>
  <c r="F282" i="1"/>
  <c r="E282" i="1"/>
  <c r="D282" i="1"/>
  <c r="C282" i="1"/>
  <c r="F281" i="1"/>
  <c r="E281" i="1"/>
  <c r="D281" i="1"/>
  <c r="C281" i="1"/>
  <c r="F280" i="1"/>
  <c r="E280" i="1"/>
  <c r="D280" i="1"/>
  <c r="C280" i="1"/>
  <c r="F279" i="1"/>
  <c r="E279" i="1"/>
  <c r="D279" i="1"/>
  <c r="C279" i="1"/>
  <c r="F278" i="1"/>
  <c r="E278" i="1"/>
  <c r="D278" i="1"/>
  <c r="C278" i="1"/>
  <c r="F277" i="1"/>
  <c r="E277" i="1"/>
  <c r="D277" i="1"/>
  <c r="C277" i="1"/>
  <c r="F276" i="1"/>
  <c r="E276" i="1"/>
  <c r="D276" i="1"/>
  <c r="C276" i="1"/>
  <c r="F275" i="1"/>
  <c r="E275" i="1"/>
  <c r="D275" i="1"/>
  <c r="C275" i="1"/>
  <c r="F274" i="1"/>
  <c r="E274" i="1"/>
  <c r="D274" i="1"/>
  <c r="C274" i="1"/>
  <c r="F273" i="1"/>
  <c r="E273" i="1"/>
  <c r="D273" i="1"/>
  <c r="C273" i="1"/>
  <c r="F272" i="1"/>
  <c r="E272" i="1"/>
  <c r="D272" i="1"/>
  <c r="C272" i="1"/>
  <c r="F271" i="1"/>
  <c r="E271" i="1"/>
  <c r="D271" i="1"/>
  <c r="C271" i="1"/>
  <c r="F270" i="1"/>
  <c r="E270" i="1"/>
  <c r="D270" i="1"/>
  <c r="C270" i="1"/>
  <c r="F269" i="1"/>
  <c r="E269" i="1"/>
  <c r="D269" i="1"/>
  <c r="C269" i="1"/>
  <c r="F268" i="1"/>
  <c r="E268" i="1"/>
  <c r="D268" i="1"/>
  <c r="C268" i="1"/>
  <c r="F267" i="1"/>
  <c r="E267" i="1"/>
  <c r="D267" i="1"/>
  <c r="C267" i="1"/>
  <c r="F266" i="1"/>
  <c r="E266" i="1"/>
  <c r="D266" i="1"/>
  <c r="C266" i="1"/>
  <c r="F265" i="1"/>
  <c r="E265" i="1"/>
  <c r="D265" i="1"/>
  <c r="C265" i="1"/>
  <c r="F264" i="1"/>
  <c r="E264" i="1"/>
  <c r="D264" i="1"/>
  <c r="C264" i="1"/>
  <c r="F263" i="1"/>
  <c r="E263" i="1"/>
  <c r="D263" i="1"/>
  <c r="C263" i="1"/>
  <c r="F262" i="1"/>
  <c r="E262" i="1"/>
  <c r="D262" i="1"/>
  <c r="C262" i="1"/>
  <c r="F261" i="1"/>
  <c r="E261" i="1"/>
  <c r="D261" i="1"/>
  <c r="C261" i="1"/>
  <c r="F260" i="1"/>
  <c r="E260" i="1"/>
  <c r="D260" i="1"/>
  <c r="C260" i="1"/>
  <c r="F259" i="1"/>
  <c r="E259" i="1"/>
  <c r="D259" i="1"/>
  <c r="C259" i="1"/>
  <c r="F258" i="1"/>
  <c r="E258" i="1"/>
  <c r="D258" i="1"/>
  <c r="C258" i="1"/>
  <c r="F257" i="1"/>
  <c r="E257" i="1"/>
  <c r="D257" i="1"/>
  <c r="C257" i="1"/>
  <c r="F256" i="1"/>
  <c r="E256" i="1"/>
  <c r="D256" i="1"/>
  <c r="C256" i="1"/>
  <c r="F255" i="1"/>
  <c r="E255" i="1"/>
  <c r="D255" i="1"/>
  <c r="C255" i="1"/>
  <c r="F254" i="1"/>
  <c r="E254" i="1"/>
  <c r="D254" i="1"/>
  <c r="C254" i="1"/>
  <c r="F253" i="1"/>
  <c r="E253" i="1"/>
  <c r="D253" i="1"/>
  <c r="C253" i="1"/>
  <c r="F252" i="1"/>
  <c r="E252" i="1"/>
  <c r="D252" i="1"/>
  <c r="C252" i="1"/>
  <c r="F251" i="1"/>
  <c r="E251" i="1"/>
  <c r="D251" i="1"/>
  <c r="C251" i="1"/>
  <c r="F250" i="1"/>
  <c r="E250" i="1"/>
  <c r="D250" i="1"/>
  <c r="C250" i="1"/>
  <c r="F249" i="1"/>
  <c r="E249" i="1"/>
  <c r="D249" i="1"/>
  <c r="C249" i="1"/>
  <c r="F248" i="1"/>
  <c r="E248" i="1"/>
  <c r="D248" i="1"/>
  <c r="C248" i="1"/>
  <c r="F247" i="1"/>
  <c r="E247" i="1"/>
  <c r="D247" i="1"/>
  <c r="C247" i="1"/>
  <c r="F246" i="1"/>
  <c r="E246" i="1"/>
  <c r="D246" i="1"/>
  <c r="C246" i="1"/>
  <c r="F245" i="1"/>
  <c r="E245" i="1"/>
  <c r="D245" i="1"/>
  <c r="C245" i="1"/>
  <c r="F244" i="1"/>
  <c r="E244" i="1"/>
  <c r="D244" i="1"/>
  <c r="C244" i="1"/>
  <c r="F243" i="1"/>
  <c r="E243" i="1"/>
  <c r="D243" i="1"/>
  <c r="C243" i="1"/>
  <c r="F242" i="1"/>
  <c r="E242" i="1"/>
  <c r="D242" i="1"/>
  <c r="C242" i="1"/>
  <c r="F241" i="1"/>
  <c r="E241" i="1"/>
  <c r="D241" i="1"/>
  <c r="C241" i="1"/>
  <c r="F240" i="1"/>
  <c r="E240" i="1"/>
  <c r="D240" i="1"/>
  <c r="C240" i="1"/>
  <c r="F239" i="1"/>
  <c r="E239" i="1"/>
  <c r="D239" i="1"/>
  <c r="C239" i="1"/>
  <c r="F238" i="1"/>
  <c r="E238" i="1"/>
  <c r="D238" i="1"/>
  <c r="C238" i="1"/>
  <c r="F237" i="1"/>
  <c r="E237" i="1"/>
  <c r="D237" i="1"/>
  <c r="C237" i="1"/>
  <c r="F236" i="1"/>
  <c r="E236" i="1"/>
  <c r="D236" i="1"/>
  <c r="C236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F231" i="1"/>
  <c r="E231" i="1"/>
  <c r="D231" i="1"/>
  <c r="C231" i="1"/>
  <c r="F230" i="1"/>
  <c r="E230" i="1"/>
  <c r="D230" i="1"/>
  <c r="C230" i="1"/>
  <c r="F229" i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E225" i="1"/>
  <c r="D225" i="1"/>
  <c r="C225" i="1"/>
  <c r="F224" i="1"/>
  <c r="E224" i="1"/>
  <c r="D224" i="1"/>
  <c r="C224" i="1"/>
  <c r="F223" i="1"/>
  <c r="E223" i="1"/>
  <c r="D223" i="1"/>
  <c r="C223" i="1"/>
  <c r="F222" i="1"/>
  <c r="E222" i="1"/>
  <c r="D222" i="1"/>
  <c r="C222" i="1"/>
  <c r="F221" i="1"/>
  <c r="E221" i="1"/>
  <c r="D221" i="1"/>
  <c r="C221" i="1"/>
  <c r="F220" i="1"/>
  <c r="E220" i="1"/>
  <c r="D220" i="1"/>
  <c r="C220" i="1"/>
  <c r="F219" i="1"/>
  <c r="E219" i="1"/>
  <c r="D219" i="1"/>
  <c r="C219" i="1"/>
  <c r="F218" i="1"/>
  <c r="E218" i="1"/>
  <c r="D218" i="1"/>
  <c r="C218" i="1"/>
  <c r="F217" i="1"/>
  <c r="E217" i="1"/>
  <c r="D217" i="1"/>
  <c r="C217" i="1"/>
  <c r="F216" i="1"/>
  <c r="E216" i="1"/>
  <c r="D216" i="1"/>
  <c r="C216" i="1"/>
  <c r="F215" i="1"/>
  <c r="E215" i="1"/>
  <c r="D215" i="1"/>
  <c r="C215" i="1"/>
  <c r="F214" i="1"/>
  <c r="E214" i="1"/>
  <c r="D214" i="1"/>
  <c r="C214" i="1"/>
  <c r="F213" i="1"/>
  <c r="E213" i="1"/>
  <c r="D213" i="1"/>
  <c r="C213" i="1"/>
  <c r="F212" i="1"/>
  <c r="E212" i="1"/>
  <c r="D212" i="1"/>
  <c r="C212" i="1"/>
  <c r="F211" i="1"/>
  <c r="E211" i="1"/>
  <c r="D211" i="1"/>
  <c r="C211" i="1"/>
  <c r="F210" i="1"/>
  <c r="E210" i="1"/>
  <c r="D210" i="1"/>
  <c r="C210" i="1"/>
  <c r="F209" i="1"/>
  <c r="E209" i="1"/>
  <c r="D209" i="1"/>
  <c r="C209" i="1"/>
  <c r="F208" i="1"/>
  <c r="E208" i="1"/>
  <c r="D208" i="1"/>
  <c r="C208" i="1"/>
  <c r="F207" i="1"/>
  <c r="E207" i="1"/>
  <c r="D207" i="1"/>
  <c r="C207" i="1"/>
  <c r="F206" i="1"/>
  <c r="E206" i="1"/>
  <c r="D206" i="1"/>
  <c r="C206" i="1"/>
  <c r="F205" i="1"/>
  <c r="E205" i="1"/>
  <c r="D205" i="1"/>
  <c r="C205" i="1"/>
  <c r="F204" i="1"/>
  <c r="E204" i="1"/>
  <c r="D204" i="1"/>
  <c r="C204" i="1"/>
  <c r="F203" i="1"/>
  <c r="E203" i="1"/>
  <c r="D203" i="1"/>
  <c r="C203" i="1"/>
  <c r="F202" i="1"/>
  <c r="E202" i="1"/>
  <c r="D202" i="1"/>
  <c r="C202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E198" i="1"/>
  <c r="D198" i="1"/>
  <c r="C198" i="1"/>
  <c r="F197" i="1"/>
  <c r="E197" i="1"/>
  <c r="D197" i="1"/>
  <c r="C197" i="1"/>
  <c r="F196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E191" i="1"/>
  <c r="D191" i="1"/>
  <c r="C191" i="1"/>
  <c r="F190" i="1"/>
  <c r="E190" i="1"/>
  <c r="D190" i="1"/>
  <c r="C190" i="1"/>
  <c r="F189" i="1"/>
  <c r="E189" i="1"/>
  <c r="D189" i="1"/>
  <c r="C189" i="1"/>
  <c r="F188" i="1"/>
  <c r="E188" i="1"/>
  <c r="D188" i="1"/>
  <c r="C188" i="1"/>
  <c r="F187" i="1"/>
  <c r="E187" i="1"/>
  <c r="D187" i="1"/>
  <c r="C187" i="1"/>
  <c r="F186" i="1"/>
  <c r="E186" i="1"/>
  <c r="D186" i="1"/>
  <c r="C186" i="1"/>
  <c r="F185" i="1"/>
  <c r="E185" i="1"/>
  <c r="D185" i="1"/>
  <c r="C185" i="1"/>
  <c r="F184" i="1"/>
  <c r="E184" i="1"/>
  <c r="D184" i="1"/>
  <c r="C184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F73" i="1"/>
  <c r="E73" i="1"/>
  <c r="D73" i="1"/>
  <c r="C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</calcChain>
</file>

<file path=xl/sharedStrings.xml><?xml version="1.0" encoding="utf-8"?>
<sst xmlns="http://schemas.openxmlformats.org/spreadsheetml/2006/main" count="449" uniqueCount="448">
  <si>
    <t>Item</t>
  </si>
  <si>
    <t>MRP</t>
  </si>
  <si>
    <t>Platinum</t>
  </si>
  <si>
    <t>Gold</t>
  </si>
  <si>
    <t>Sliver</t>
  </si>
  <si>
    <t>Bronze</t>
  </si>
  <si>
    <t>TIC TAC - 18W - PANEL WH_WW</t>
  </si>
  <si>
    <t>TIC TAC - 24W - PANEL WH</t>
  </si>
  <si>
    <t>DEX - 10W - PANEL - MULTI</t>
  </si>
  <si>
    <t>DEX - 15W - PANEL - MULTI</t>
  </si>
  <si>
    <t>DEX - 22W - PANEL - MULTI</t>
  </si>
  <si>
    <t>DEX - 8W - PANEL</t>
  </si>
  <si>
    <t>DEX - 12W - PANEL</t>
  </si>
  <si>
    <t>DEX - 15W - PANEL</t>
  </si>
  <si>
    <t>DEX - 22W - PANEL</t>
  </si>
  <si>
    <t>FLARI - 8W - PANEL</t>
  </si>
  <si>
    <t>FLARI - 15W - PANEL</t>
  </si>
  <si>
    <t>LEED - 10W - 4 INCH - RD - MULTI</t>
  </si>
  <si>
    <t>LEED - 12W - 4 INCH - RD - MULTI</t>
  </si>
  <si>
    <t>LEED - 10W - 4 INCH - RD</t>
  </si>
  <si>
    <t>LEED - 12W - 4 INCH - RD</t>
  </si>
  <si>
    <t>VERO - 12W - PANEL - RD</t>
  </si>
  <si>
    <t>ECOLYF - 8W - PANEL - MULTI</t>
  </si>
  <si>
    <t>ECOLYF - 15W - PANEL - MULTI</t>
  </si>
  <si>
    <t>ECOLYF - 4W - PANEL</t>
  </si>
  <si>
    <t>ECOLYF - 4W - PANEL R_B_P_G</t>
  </si>
  <si>
    <t>ECOLYF - 8W - PANEL</t>
  </si>
  <si>
    <t>ECOLYF - 8W - PANEL R_B_P_G</t>
  </si>
  <si>
    <t>ECOLYF - 12W - PANEL</t>
  </si>
  <si>
    <t>ECOLYF - 15W - PANEL</t>
  </si>
  <si>
    <t>ECOLYF - 18W - PANEL</t>
  </si>
  <si>
    <t>ECOLYF - 22W - PANEL</t>
  </si>
  <si>
    <t>ECOLYF - 30W - PANEL</t>
  </si>
  <si>
    <t>ARTIS - 8W - PANEL WH - HEXAGON</t>
  </si>
  <si>
    <t>ARTIS - 15W - PANEL WH - HEXAGON</t>
  </si>
  <si>
    <t>ORIEL - 8W - PANEL WH_WW</t>
  </si>
  <si>
    <t>ORIEL - 12W - PANEL WH_WW</t>
  </si>
  <si>
    <t>ORIEL - 15W - PANEL WH_WW</t>
  </si>
  <si>
    <t>ORIEL - 22W - PANEL WH_WW</t>
  </si>
  <si>
    <t>EVOC - 3W - PANEL WH</t>
  </si>
  <si>
    <t>EVOC - 3W - PANEL NW_WW</t>
  </si>
  <si>
    <t>EVOC - 6W - PANEL WH</t>
  </si>
  <si>
    <t>EVOC - 6W - PANEL NW_WW</t>
  </si>
  <si>
    <t>EVOC - 10W - PANEL WH</t>
  </si>
  <si>
    <t>EVOC - 10W - PANEL NW_WW</t>
  </si>
  <si>
    <t>EVOC - 15W - PANEL WH</t>
  </si>
  <si>
    <t>EVOC - 15W - PANEL NW_WW</t>
  </si>
  <si>
    <t>EVOC - 20W - PANEL</t>
  </si>
  <si>
    <t>SAPPHIRE - 3+3W - PANEL - MULTI</t>
  </si>
  <si>
    <t>SAPPHIRE - 3+3W - PANEL - BPG</t>
  </si>
  <si>
    <t>SAPPHIRE - 6+3W - PANEL - MULTI</t>
  </si>
  <si>
    <t>SAPPHIRE - 6+3W - PANEL - BPG</t>
  </si>
  <si>
    <t>SAPPHIRE - 12+4W - PANEL - MULTI</t>
  </si>
  <si>
    <t>SAPPHIRE - 12+4W - PANEL - BPG</t>
  </si>
  <si>
    <t>GAZA JELLY - 3+3W - 2IN1 - PANEL</t>
  </si>
  <si>
    <t>GAZA JELLY - 6+3W - 2IN1 - PANEL</t>
  </si>
  <si>
    <t>KOLORS - 6+3W - PANEL - MULTI - RD</t>
  </si>
  <si>
    <t>KOLORS - 12+4W - PANEL - MULTI - RD</t>
  </si>
  <si>
    <t>DAZZLE - 7+7W - 2IN1 - PANEL- WW_B_P_PGB - RD</t>
  </si>
  <si>
    <t>DAZZLE - 7+7W - 2IN1 - PANEL - MULTI - RD</t>
  </si>
  <si>
    <t>RAYON - 10W - 2IN1 - PANEL - WH+WW</t>
  </si>
  <si>
    <t>RAYON - 10W - 2IN1 - PANEL - WH+RGB</t>
  </si>
  <si>
    <t>RAYON - 16W - 2IN1 - PANEL - WH+WW</t>
  </si>
  <si>
    <t>RAYON - 16W - 2IN1 - PANEL - WH+RGB</t>
  </si>
  <si>
    <t>INVERTER - 15W - PANEL WH - RD/SQ</t>
  </si>
  <si>
    <t>ZOEY - 12W - DEEP - PANEL - WWW - RD</t>
  </si>
  <si>
    <t>ZOEY - 18W - DEEP - PANEL - WWW - RD</t>
  </si>
  <si>
    <t>NOVUS DRIVER - 4W</t>
  </si>
  <si>
    <t>NOVUS DRIVER - 8W</t>
  </si>
  <si>
    <t>NOVUS DRIVER - 12W</t>
  </si>
  <si>
    <t>NOVUS DRIVER - 15W</t>
  </si>
  <si>
    <t>NOVUS DRIVER - 22W</t>
  </si>
  <si>
    <t>NOVUS DRIVER - 30W</t>
  </si>
  <si>
    <t>REGAL - 36W - PANEL 2*2 - SQ</t>
  </si>
  <si>
    <t>REGAL - 40W - PANEL 2*2 - SQ</t>
  </si>
  <si>
    <t>REGAL - 50W - PANEL 2*2 - SQ</t>
  </si>
  <si>
    <t>REGAL - 36W - Driver</t>
  </si>
  <si>
    <t>REGAL - 40W - Driver</t>
  </si>
  <si>
    <t>REGAL - 50W - Driver</t>
  </si>
  <si>
    <t>REGAL - PANEL - Spring Clip 4Nos</t>
  </si>
  <si>
    <t>REGAL - SURFACE - Kit</t>
  </si>
  <si>
    <t>LYNES - 48W - LINEAR LIGHT WH_NW</t>
  </si>
  <si>
    <t>SFIT - 8W - SURFACE WH</t>
  </si>
  <si>
    <t>SFIT - 8W - SURFACE NW_WW</t>
  </si>
  <si>
    <t>SFIT - 8W - SURFACE R_B_P_G</t>
  </si>
  <si>
    <t>SFIT - 12W - SURFACE WH</t>
  </si>
  <si>
    <t>SFIT - 12W - SURFACE NW_WW</t>
  </si>
  <si>
    <t>SFIT - 15W - SURFACE WH</t>
  </si>
  <si>
    <t>SFIT - 15W - SURFACE NW_WW</t>
  </si>
  <si>
    <t>SFIT - 22W - SURFACE WH</t>
  </si>
  <si>
    <t>SFIT - 22W - SURFACE NW_WW</t>
  </si>
  <si>
    <t>SFIT - 30W - SURFACE WH_NW_WW</t>
  </si>
  <si>
    <t>DEX - 8W - SURFACE</t>
  </si>
  <si>
    <t>DEX - 15W - SURFACE</t>
  </si>
  <si>
    <t>DEX - 22W - SURFACE</t>
  </si>
  <si>
    <t>STWIST - 9W - SURFACE - MULTI - RD</t>
  </si>
  <si>
    <t>STWIST - 15W - SURFACE - MULTI - RD</t>
  </si>
  <si>
    <t>STWIST - 7W - SURFACE WH - RD</t>
  </si>
  <si>
    <t>STWIST - 7W - SURFACE NW_WW - RD</t>
  </si>
  <si>
    <t>STWIST - 9W - SURFACE WH - RD</t>
  </si>
  <si>
    <t>STWIST - 9W - SURFACE NW_WW - RD</t>
  </si>
  <si>
    <t>STWIST - 15W - SURFACE WH - RD</t>
  </si>
  <si>
    <t>STWIST - 15W - SURFACE NW_WW - RD</t>
  </si>
  <si>
    <t>STWIST - 20W - SURFACE WH - RD</t>
  </si>
  <si>
    <t>STWIST - 20W - SURFACE NW_WW - RD</t>
  </si>
  <si>
    <t>LEYYON - 8W - SURFACE</t>
  </si>
  <si>
    <t>LEYYON - 15W - SURFACE</t>
  </si>
  <si>
    <t>LEYYON - 22W - SURFACE</t>
  </si>
  <si>
    <t>LEYYON - 30W - SURFACE</t>
  </si>
  <si>
    <t>LEXXO - 8W - SURFACE - MULTI</t>
  </si>
  <si>
    <t>LEXXO - 15W - SURFACE - MULTI</t>
  </si>
  <si>
    <t>LEXXO - 22W - SURFACE - MULTI</t>
  </si>
  <si>
    <t>LEXXO - 8W - SURFACE</t>
  </si>
  <si>
    <t>LEXXO - 15W - SURFACE</t>
  </si>
  <si>
    <t>LEXXO - 22W - SURFACE</t>
  </si>
  <si>
    <t>CIRRUS - 3+3W - SURFACE - MULTI</t>
  </si>
  <si>
    <t>CIRRUS - 3+3W - SURFACE - BPG</t>
  </si>
  <si>
    <t>CIRRUS - 6+3W - SURFACE - MULTI</t>
  </si>
  <si>
    <t>CIRRUS - 6+3W - SURFACE - BPG</t>
  </si>
  <si>
    <t>CIRRUS - 12+4W - SURFACE - MULTI</t>
  </si>
  <si>
    <t>SPRYNGS - 3W - SURFACE - RD</t>
  </si>
  <si>
    <t>YUNO - 3W - SURFACE - RD - WW</t>
  </si>
  <si>
    <t>OPAL - 10W - JUNCTION - 3" - RD</t>
  </si>
  <si>
    <t>LEAF - 8W - JUNCTION - 3" - RD</t>
  </si>
  <si>
    <t>OCCO - 7W - JUNCTION - 3" - RD</t>
  </si>
  <si>
    <t>KOBE - 7W - JUNCTION - 3" - RD</t>
  </si>
  <si>
    <t>OSAM - 8W - JUNCTION - 3" - RD</t>
  </si>
  <si>
    <t>EYRA - 7W - JUNCTION - 3" - MULTI - RD</t>
  </si>
  <si>
    <t>EYRA - 7W - JUNCTION - 3" - RD</t>
  </si>
  <si>
    <t>NOA - 9+9W - 2IN1 - JUNCTION - 3" - RD</t>
  </si>
  <si>
    <t>NOA - 9+9W - 2IN1 - JUNCTION - 3" - MULTI - RD</t>
  </si>
  <si>
    <t>FINA - 10W - JUNCTION - 3" - RD</t>
  </si>
  <si>
    <t>JOYCE - 7W - 3IN1 - JUNCTION - 3" - MULTI - RD</t>
  </si>
  <si>
    <t>RINGO - 7W - JUNCTION - 3" - MULTI - RD</t>
  </si>
  <si>
    <t>ORECA - 8+8W - DEEP - MULTI - 2" - RD</t>
  </si>
  <si>
    <t>ORECA - 15+15W - JUNCTION - MULTI - 3" - RD</t>
  </si>
  <si>
    <t>NYO - 8W - JUNCTION - 2" - MULTI - RD</t>
  </si>
  <si>
    <t>NYO - 15W - JUNCTION - 2"/3" - MULTI - RD</t>
  </si>
  <si>
    <t>NYO - 8W - JUNCTION - 2" - RD</t>
  </si>
  <si>
    <t>NYO - 15W - JUNCTION - 2"/3" - RD</t>
  </si>
  <si>
    <t>NYO -  JUNCTION - CONVERTER</t>
  </si>
  <si>
    <t>TEKO - 3W - DEEP - 2" - RD</t>
  </si>
  <si>
    <t>TEKO - 3W - DEEP - 2" - RD - RBPG</t>
  </si>
  <si>
    <t>REX - 3W - 3IN1 - DEEP - 2" - MULTI - RD</t>
  </si>
  <si>
    <t>REX - 3W - DEEP - 2" - RD</t>
  </si>
  <si>
    <t>POLO - 3W - DEEP - 2" - RD</t>
  </si>
  <si>
    <t>JASPER - 1W - SPOT - RD</t>
  </si>
  <si>
    <t>LAURA - 3W - SPOT - RD</t>
  </si>
  <si>
    <t>EVA - 3W - SPOT - RD</t>
  </si>
  <si>
    <t>ZYRA - 3W - SPOT - RD</t>
  </si>
  <si>
    <t>RADEON - 3W - DEEP - 2" - MULTI - RD</t>
  </si>
  <si>
    <t>RADEON - 3W - DEEP - 2" - RD</t>
  </si>
  <si>
    <t>ZING - 1W - SPOT - 1" - RD</t>
  </si>
  <si>
    <t>ZING - 3W - SPOT - 1" - RD</t>
  </si>
  <si>
    <t>OVO - 3W - SPOT - 2" - RD</t>
  </si>
  <si>
    <t>AXON - 6W - COB - RD</t>
  </si>
  <si>
    <t>AXON - 9W - COB - RD</t>
  </si>
  <si>
    <t>AXON - 12W - COB - RD</t>
  </si>
  <si>
    <t>MIZO - 7W - COB - RD</t>
  </si>
  <si>
    <t>MIZO - 10W - COB - RD</t>
  </si>
  <si>
    <t>MIZO - 16W - COB - RD</t>
  </si>
  <si>
    <t>MIZO - 25W - COB - RD</t>
  </si>
  <si>
    <t>MIZO - 35W - COB - RD</t>
  </si>
  <si>
    <t>VERVE - 7W - COB - RD</t>
  </si>
  <si>
    <t>VERVE - 12W - COB - RD</t>
  </si>
  <si>
    <t>ZEFIRO - 5+2W - 2IN1 -COB - RD</t>
  </si>
  <si>
    <t>ZEFIRO - 10+3W - 2IN1 -COB - RD</t>
  </si>
  <si>
    <t>FUSION - 7W - COB - WH_NW_WW - RD</t>
  </si>
  <si>
    <t>FUSION - 12W - COB - WH_NW_WW - RD</t>
  </si>
  <si>
    <t>VON - 6W - COB - RD</t>
  </si>
  <si>
    <t>ADOR - 6W - SURFACE  - WH_NW_WW</t>
  </si>
  <si>
    <t>ADOR - 12W - SURFACE - WH_NW_WW</t>
  </si>
  <si>
    <t>ADOR - 18W - SURFACE - WH_NW_WW</t>
  </si>
  <si>
    <t>MELLO - SOLAR - 4000mAH - 20HRS</t>
  </si>
  <si>
    <t>DOM - 6W - TUNABLE - 4HRS</t>
  </si>
  <si>
    <t>ELVEO - 5W - DIMMABLE LANTERN - 10HRS</t>
  </si>
  <si>
    <t>FLAVYO - 6W - PORTABLE LAMP - 10HRS</t>
  </si>
  <si>
    <t>JESKO - 6W - TOUCH LAMP - 8HRS</t>
  </si>
  <si>
    <t>DORA - 5W - PORTABLE LANTERN - 30HRS</t>
  </si>
  <si>
    <t>MOZ - 18W - PORTABLE LANTERN - 5HRS</t>
  </si>
  <si>
    <t>PTON - 5W - PORTABLE LANTERN - 15HRS</t>
  </si>
  <si>
    <t>TERRY - 5W - PORTABLE LANTERN - 5HRS</t>
  </si>
  <si>
    <t>TOZO - 6W - PORTABLE LANTERN - 28HRS</t>
  </si>
  <si>
    <t>ZERON - 5W - TOUCH LAMP - 28HRS</t>
  </si>
  <si>
    <t>DION - 5W - MULTIFUNCTIONAL - LANTERN - 10HRS</t>
  </si>
  <si>
    <t>AERO - PORTABLE FAN - 6HRS</t>
  </si>
  <si>
    <t>AIRIFY - PORTABLE FAN - 5HRS</t>
  </si>
  <si>
    <t>RENO - PORTABLE FAN - 10HRS</t>
  </si>
  <si>
    <t>ENZO - 12W - TRACK LIGHT - WWW</t>
  </si>
  <si>
    <t>ENZO - 26W - TRACK LIGHT - WWW</t>
  </si>
  <si>
    <t>VESTA - 1M - TRACK RAIL</t>
  </si>
  <si>
    <t>VESTA - 2M - TRACK RAIL</t>
  </si>
  <si>
    <t>VIVA - 10W - BULKHEAD - WH_WW</t>
  </si>
  <si>
    <t>VIVA - 20W - BULKHEAD - WH_WW</t>
  </si>
  <si>
    <t>DUET - 18W - WALL LIGHT - 4LINE</t>
  </si>
  <si>
    <t>DUET - 18W - WALL LIGHT - 4SQUARE</t>
  </si>
  <si>
    <t>DUET - 18W - WALL LIGHT - 4MOON</t>
  </si>
  <si>
    <t>VESTA - 3W - WALL LIGHT - WH_WW</t>
  </si>
  <si>
    <t>VESTA - 6W - WALL LIGHT - WH_WW</t>
  </si>
  <si>
    <t>VESTA - 9W - WALL LIGHT - WH_WW</t>
  </si>
  <si>
    <t>VESTA - 16W - WALL LIGHT - WH_NW_WW</t>
  </si>
  <si>
    <t>VESTA - 30W - WALL LIGHT - WH_NW_WW</t>
  </si>
  <si>
    <t>VESTA - 50W - WALL LIGHT - WH_NW_WW</t>
  </si>
  <si>
    <t>KTYPE - 3W(3W*1) - WALL LIGHT - WW</t>
  </si>
  <si>
    <t>KTYPE - 6W(3W*2) - WALL LIGHT - WW</t>
  </si>
  <si>
    <t>UNIKO - 2W - WALL LIGHT - 1WAY - WW</t>
  </si>
  <si>
    <t>UNIKO - 3W - WALL LIGHT - 2WAY - WW</t>
  </si>
  <si>
    <t>MYSTIC - 5W - WALL LIGHT - 2WAY - WW</t>
  </si>
  <si>
    <t>AZIYO - 6W - WALL LIGHT - 2WAY - WW</t>
  </si>
  <si>
    <t>NAIRO - 5W - WALL LIGHT - 4WAY - WW</t>
  </si>
  <si>
    <t>ZYREX - 3W - WALL LIGHT - 2WAY - WW</t>
  </si>
  <si>
    <t>OTRIX - 3W - WALL LIGHT - 2WAY - WW</t>
  </si>
  <si>
    <t>OTRIX - 4W - WALL LIGHT - 4WAY - WW</t>
  </si>
  <si>
    <t>TRIVIA - 5W - WALL LIGHT - 3WAY - WW</t>
  </si>
  <si>
    <t>ALTIS - 5W - WALL LIGHT - 1WAY - WW</t>
  </si>
  <si>
    <t>RIZA - 3W - WALL LIGHT - 2WAY - WW</t>
  </si>
  <si>
    <t>FIDO - 3W - STEP LIGHT - RD/SQ - WW</t>
  </si>
  <si>
    <t>TRIX - 3W - STEP LIGHT - RD/SQ - WW</t>
  </si>
  <si>
    <t>ARVA - 3W - STEP LIGHT - RD - WW</t>
  </si>
  <si>
    <t>RIO - 3W - STEP LIGHT - SQ - WW</t>
  </si>
  <si>
    <t>ARGON - 3W - FOOT LIGHT - WW</t>
  </si>
  <si>
    <t>ETERNA - 3W - FOOT LIGHT - WW</t>
  </si>
  <si>
    <t>ALLORA - 5W - FOOT LIGHT - WW</t>
  </si>
  <si>
    <t>AURIS - 3W - FOOT LIGHT - WW</t>
  </si>
  <si>
    <t>AURIS - 5W - FOOT LIGHT - WW</t>
  </si>
  <si>
    <t>IVON - 20W - GATE LIGHT - WH_WW</t>
  </si>
  <si>
    <t>GLORA - 24W - GATE LIGHT - WH_WW</t>
  </si>
  <si>
    <t>ALGY- 24W - GATE LIGHT - NO LIGHT</t>
  </si>
  <si>
    <t>BULB - 0.5W - POD - WH_WH_NW_R_B_P_G</t>
  </si>
  <si>
    <t>BULB - 0.5W - POD - MULTI</t>
  </si>
  <si>
    <t>BULB - 0.5W - POD PLUG - WH_WW_R_B_P_G</t>
  </si>
  <si>
    <t>SPLASH - 7W - BULB - Y_R_B_P_G</t>
  </si>
  <si>
    <t>TRUX - 10W - BULB - AM_Y_R_B_P_G</t>
  </si>
  <si>
    <t>MYLO - 10W - BULB - 3IN1</t>
  </si>
  <si>
    <t>ASPIRE - 30W - TBULB - WH</t>
  </si>
  <si>
    <t>AIRVIN - 45W - FAN BULB - WH</t>
  </si>
  <si>
    <t>BULB - 3.5W - LIV</t>
  </si>
  <si>
    <t>BULB - 5W - LIV - WH_WW</t>
  </si>
  <si>
    <t>BULB - 7.5W - LIV - WH_WW</t>
  </si>
  <si>
    <t>BULB - 10W - LIV - WH_WW</t>
  </si>
  <si>
    <t>BULB - 12W - LIV</t>
  </si>
  <si>
    <t>BULB - 14W - LIV</t>
  </si>
  <si>
    <t>BULB - 16W - LIV</t>
  </si>
  <si>
    <t>BULB - 18W - LIV</t>
  </si>
  <si>
    <t>BULB - 21W - LIV</t>
  </si>
  <si>
    <t>BULB - 24W - LIV</t>
  </si>
  <si>
    <t>BULB - 27W - LIV</t>
  </si>
  <si>
    <t>INVERTER BULB - 10W - 3HR - WH</t>
  </si>
  <si>
    <t>INVERTER BULB - 10W - 4HR - WH</t>
  </si>
  <si>
    <t>INVERTER BULB - 10W - 6HR - WH</t>
  </si>
  <si>
    <t>INVERTER BULB - 20W - 5HR - WH</t>
  </si>
  <si>
    <t>INVERTER BULB - XENUS - 12W - 4-12HR - WH</t>
  </si>
  <si>
    <t>INVERTER BULB - KLIK - 15W - 5-14HR - WH</t>
  </si>
  <si>
    <t>AURORA - 16W - DOME - WH_WW</t>
  </si>
  <si>
    <t>AURORA - 20W - DOME - WH_WW</t>
  </si>
  <si>
    <t>AURORA - 30W - DOME - WH_WW</t>
  </si>
  <si>
    <t>AURORA - 40W - DOME - WH_WW</t>
  </si>
  <si>
    <t>AURORA - 50W - DOME - WH_WW</t>
  </si>
  <si>
    <t>AURORA - 60W - DOME - WH_WW</t>
  </si>
  <si>
    <t>BLOOM - 30W - DOME - WH_WW</t>
  </si>
  <si>
    <t>BLOOM - 40W - DOME - WH_WW</t>
  </si>
  <si>
    <t>BLOOM - 50W - DOME - WH_WW</t>
  </si>
  <si>
    <t>AUTON - 10W - BULB - 2IN1</t>
  </si>
  <si>
    <t>SENSTUR - 10W - BULB - SENSOR</t>
  </si>
  <si>
    <t>CLEO - 4.5W - CANDLE BULB  - FROSTED</t>
  </si>
  <si>
    <t>CLEO - 4.5W - CANDLE BULB  - CLEAR</t>
  </si>
  <si>
    <t>HOVER HANGING HOLDER</t>
  </si>
  <si>
    <t>BATTEN - 6W - CRISA</t>
  </si>
  <si>
    <t>BATTEN - 12W - CRISA</t>
  </si>
  <si>
    <t>BATTEN - 22W - LUK</t>
  </si>
  <si>
    <t>BATTEN - 22W - LUK - RBPG</t>
  </si>
  <si>
    <t>BATTEN - 22W - SLIO</t>
  </si>
  <si>
    <t>BATTEN - 20W - CIVIC - MULTI</t>
  </si>
  <si>
    <t>BATTEN - 10W - INVERTER - WH</t>
  </si>
  <si>
    <t>BATTEN - 20W - INVERTER - WH</t>
  </si>
  <si>
    <t>BATTEN - 26W - ZEV</t>
  </si>
  <si>
    <t>BATTEN - 30W - BRILLO - PVC - WH</t>
  </si>
  <si>
    <t>BATTEN - 40W - NEXON - PVC - WH_WW</t>
  </si>
  <si>
    <t>BATTEN - 22W - TRIO - TIRANGA</t>
  </si>
  <si>
    <t>BATTEN - 40W - NURO - AL - WH_WW</t>
  </si>
  <si>
    <t>BATTEN - 52W - EXOS - AL - WH</t>
  </si>
  <si>
    <t>BATTEN - 45W - BOLTON - WH</t>
  </si>
  <si>
    <t>BATTEN - 65W - CAMILO - WH</t>
  </si>
  <si>
    <t>BATTEN - 20W - TYO - WH - 2FT</t>
  </si>
  <si>
    <t>BATTEN - 25W - FYNN</t>
  </si>
  <si>
    <t>ZEPHYR - 5W - CABINET LIGHT - AL</t>
  </si>
  <si>
    <t>ZEPHYR - 10W - CABINET LIGHT - AL</t>
  </si>
  <si>
    <t>ZIO PROFILE - DISPLAY BOX</t>
  </si>
  <si>
    <t>IOX - 17*6 MM CONCEALED - 0.9MM Gauge</t>
  </si>
  <si>
    <t>ZIO - 17*6 MM SURFACE</t>
  </si>
  <si>
    <t>ZIO - 17*6 MM CONCEALED</t>
  </si>
  <si>
    <t>ZIO - 17*14 MM SURFACE</t>
  </si>
  <si>
    <t>ZIO - 17*14 MM CONCEALED</t>
  </si>
  <si>
    <t>ZIO - 25*10 MM SURFACE</t>
  </si>
  <si>
    <t>ZIO - 25*10 MM CONCEALED</t>
  </si>
  <si>
    <t>ZIO - 35*20 MM SURFACE</t>
  </si>
  <si>
    <t>ZIO - 35*20 MM CONCEALED</t>
  </si>
  <si>
    <t>ZIO - 35*35 MM SURFACE</t>
  </si>
  <si>
    <t>ZIO - 35*35 MM CONCEALED</t>
  </si>
  <si>
    <t>ZIO - 50*20 MM SURFACE</t>
  </si>
  <si>
    <t>ZIO - 50*20 MM CONCEALED</t>
  </si>
  <si>
    <t>ZIO - 50*35 MM SURFACE</t>
  </si>
  <si>
    <t>ZIO - 50*35 MM CONCEALED</t>
  </si>
  <si>
    <t>ZIO - 50*70 MM LINEAR</t>
  </si>
  <si>
    <t>ZIO - 35*12 MM SURFACE</t>
  </si>
  <si>
    <t>ZIO - 35*12 MM CONCEALED</t>
  </si>
  <si>
    <t>ZIO - 50*12 MM SURFACE</t>
  </si>
  <si>
    <t>ZIO - 50*12 MM CONCEALED</t>
  </si>
  <si>
    <t>ZIO - 50*50 UP&amp;DOWN</t>
  </si>
  <si>
    <t>ZIO - 16*16 MM CORNER</t>
  </si>
  <si>
    <t>ZIO - 50*50 MM CORNER</t>
  </si>
  <si>
    <t>REVV - 9W - MIRROR LIGHT - WWW</t>
  </si>
  <si>
    <t>REVV - 18W - MIRROR LIGHT - WWW</t>
  </si>
  <si>
    <t>GLIZZ - 9W - MIRROR LIGHT - WWW</t>
  </si>
  <si>
    <t>GLIZZ - 18W - MIRROR LIGHT - WWW</t>
  </si>
  <si>
    <t>FENIX - 9W - MIRROR LIGHT - WWW</t>
  </si>
  <si>
    <t>FENIX - 18W - MIRROR LIGHT - WWW</t>
  </si>
  <si>
    <t>AVEN - 12W - MIRROR LIGHT - WWW</t>
  </si>
  <si>
    <t>VIGOR - 7.5W - ROPE - 45M - WH_NW_WW_AM_R_B_P_G</t>
  </si>
  <si>
    <t>ZOWIK - 7.5W - ROPE LIGHT - 90M - WH_BL</t>
  </si>
  <si>
    <t>VIGOR - 7.5W - ROPE LIGHT - 45M - RGB</t>
  </si>
  <si>
    <t>TIRANGA - 150W - ROPE LIGHT - 18M</t>
  </si>
  <si>
    <t>VIGOR - RGB - CORD - REMOTE SET</t>
  </si>
  <si>
    <t>VIGOR - CORD - EFL</t>
  </si>
  <si>
    <t>VIGOR - CORD - C2C</t>
  </si>
  <si>
    <t>EMIGO - 120 - STRIP LIGHT - WH_WW</t>
  </si>
  <si>
    <t>EMIGO - 180 - STRIP LIGHT - WH_WW</t>
  </si>
  <si>
    <t>TWNK - 60 - STRIP LIGHT</t>
  </si>
  <si>
    <t>TWNK - 60 - STRIP LIGHT - RGB</t>
  </si>
  <si>
    <t xml:space="preserve">TWNK - 120 - STRIP LIGHT - WH_NW_WW_BL </t>
  </si>
  <si>
    <t xml:space="preserve">TWNK - 240 - STRIP LIGHT - WH_NW_WW_BL </t>
  </si>
  <si>
    <t>ALLO - 2AMPS - STRIP DRIVER</t>
  </si>
  <si>
    <t>ALLO - 5AMPS - STRIP DRIVER</t>
  </si>
  <si>
    <t>ALLO - 10AMPS - STRIP DRIVER</t>
  </si>
  <si>
    <t>ALLO - 15AMPS - STRIP DRIVER</t>
  </si>
  <si>
    <t>ALLO - RGB REMOTE</t>
  </si>
  <si>
    <t>VITTO - 2AMPS - SMPS DRIVER</t>
  </si>
  <si>
    <t>VITTO - 3AMPS - SMPS DRIVER</t>
  </si>
  <si>
    <t>VITTO - 5AMPS - SMPS DRIVER</t>
  </si>
  <si>
    <t>VITTO - 10AMPS - SMPS DRIVER</t>
  </si>
  <si>
    <t>VITTO - 12.5AMPS - SMPS DRIVER</t>
  </si>
  <si>
    <t>VITTO - 16.5AMPS - SMPS DRIVER</t>
  </si>
  <si>
    <t>VITTO - 25AMPS - SMPS DRIVER</t>
  </si>
  <si>
    <t>VITTO - 33.5AMPS - SMPS DRIVER</t>
  </si>
  <si>
    <t>RYDR - 5AMPS - SMPS DRIVER</t>
  </si>
  <si>
    <t>RYDR - 10AMPS - SMPS DRIVER</t>
  </si>
  <si>
    <t>GLO - SERIAL - 10M - WH_Y_R_B_O_G</t>
  </si>
  <si>
    <t>GLO - SERIAL - 15M - WH_Y_R_B_O_G</t>
  </si>
  <si>
    <t>GLO - SERIAL - 10M - RGB</t>
  </si>
  <si>
    <t>GLO - SERIAL - 15M - RGB</t>
  </si>
  <si>
    <t>XPRO - 30W - FLOOD LIGHT - WH</t>
  </si>
  <si>
    <t>XPRO - 50W - FLOOD LIGHT - WH</t>
  </si>
  <si>
    <t>XPRO - 100W - FLOOD LIGHT - WH</t>
  </si>
  <si>
    <t>XPRO - 150W - FLOOD LIGHT - WH</t>
  </si>
  <si>
    <t>XPRO - 200W - FLOOD LIGHT - WH</t>
  </si>
  <si>
    <t>TODDO - 50W - FLOOD LIGHT - WH_WW</t>
  </si>
  <si>
    <t>TODDO - 50W - FLOOD LIGHT - R_B_P_G</t>
  </si>
  <si>
    <t>TODDO - 100W - FLOOD LIGHT - WH_WW</t>
  </si>
  <si>
    <t>TODDO - 100W - FLOOD LIGHT - R_B_P_G</t>
  </si>
  <si>
    <t>ALLUMER - 50W - FLOOD LIGHT - WH_WW</t>
  </si>
  <si>
    <t>ALLUMER - 50W - FLOOD LIGHT - GR</t>
  </si>
  <si>
    <t>ALLUMER - 100W - FLOOD LIGHT - WH_WW</t>
  </si>
  <si>
    <t>ALLUMER - 100W - FLOOD LIGHT - GR</t>
  </si>
  <si>
    <t>ALLUMER - 150W - FLOOD LIGHT - WH_WW</t>
  </si>
  <si>
    <t>ZUPER - 30W - FLOOD LIGHT - WH</t>
  </si>
  <si>
    <t>ZUPER - 50W - FLOOD LIGHT - WH</t>
  </si>
  <si>
    <t>ZUPER - 100W - FLOOD LIGHT - WH</t>
  </si>
  <si>
    <t>ZUPER - 200W - FLOOD LIGHT - WH</t>
  </si>
  <si>
    <t>AVALON - 50W - FLOOD LIGHT - WH-PC</t>
  </si>
  <si>
    <t>SPEKTR - 10W - FLOOD LIGHT - WH_WW</t>
  </si>
  <si>
    <t>SPEKTR - 20W - FLOOD LIGHT - WH_WW</t>
  </si>
  <si>
    <t>SPEKTR - 30W - FLOOD LIGHT - WH_WW</t>
  </si>
  <si>
    <t>SPEKTR - 50W - FLOOD LIGHT - WH_WW</t>
  </si>
  <si>
    <t>SPEKTR - 100W - FLOOD LIGHT - WH_WW</t>
  </si>
  <si>
    <t>SPEKTR - 150W - FLOOD LIGHT - WH_WW</t>
  </si>
  <si>
    <t>SPEKTR - 200W - FLOOD LIGHT - WH_WW</t>
  </si>
  <si>
    <t>SPEKTR - 300W - FLOOD LIGHT - WH</t>
  </si>
  <si>
    <t>SPEKTR - 400W - FLOOD LIGHT - WH</t>
  </si>
  <si>
    <t>SPEKTR - 500W - FLOOD LIGHT - WH</t>
  </si>
  <si>
    <t>VOLTEX - 50W - FLOOD LIGHT - WH</t>
  </si>
  <si>
    <t>VOLTEX - 100W - FLOOD LIGHT - WH</t>
  </si>
  <si>
    <t>VOLTEX - 150W - FLOOD LIGHT - WH</t>
  </si>
  <si>
    <t>VOLTEX - 200W - FLOOD LIGHT - WH</t>
  </si>
  <si>
    <t>STADIA - 50W - FLOOD LIGHT - RBGP</t>
  </si>
  <si>
    <t>STADIA - 100W - FLOOD LIGHT - RBGP</t>
  </si>
  <si>
    <t>PIXER - 50W - FLOOD LIGHT - RGB</t>
  </si>
  <si>
    <t>PIXER - 100W - FLOOD LIGHT - RGB</t>
  </si>
  <si>
    <t>FLOOD LIGHT - 50W DRIVER</t>
  </si>
  <si>
    <t>SURGE PROTECTION DEVICE - 50W DRIVER</t>
  </si>
  <si>
    <t>ASTEOR - 20W - STREET LIGHT - WH_WW</t>
  </si>
  <si>
    <t>ASTEOR - 24W - STREET LIGHT - WH_WW</t>
  </si>
  <si>
    <t>ASTEOR - 30W - STREET LIGHT - WH_WW</t>
  </si>
  <si>
    <t>ASTEOR - 36W - STREET LIGHT - WH_WW</t>
  </si>
  <si>
    <t>ASTEOR - 50W - STREET LIGHT - WH_WW</t>
  </si>
  <si>
    <t>ASTEOR - 72W - STREET LIGHT - WH_WW</t>
  </si>
  <si>
    <t>ASTEOR - 100W - STREET LIGHT - WH_WW</t>
  </si>
  <si>
    <t>ASTEOR - 150W - STREET LIGHT - WH_WW</t>
  </si>
  <si>
    <t>ASTEOR - 200W - STREET LIGHT - WH_WW</t>
  </si>
  <si>
    <t>DYSEN - 24W - STREET LIGHT - WH_WW</t>
  </si>
  <si>
    <t>DYSEN - 36W - STREET LIGHT - WH_WW</t>
  </si>
  <si>
    <t>DYSEN - 50W - STREET LIGHT - WH_WW</t>
  </si>
  <si>
    <t>DYSEN - 100W - STREET LIGHT - WH_WW</t>
  </si>
  <si>
    <t>JUDEO - 24W - STREET LIGHT - WH</t>
  </si>
  <si>
    <t>JUDEO - 36W - STREET LIGHT - WH</t>
  </si>
  <si>
    <t>JUDEO - 50W - STREET LIGHT - WH</t>
  </si>
  <si>
    <t>IGNIX - 24W - STREET LIGHT - WH</t>
  </si>
  <si>
    <t>IGNIX - 36W - STREET LIGHT - WH</t>
  </si>
  <si>
    <t>IGNIX - 50W - STREET LIGHT - WH</t>
  </si>
  <si>
    <t>DYNAMIQ - 18W - STREET LIGHT</t>
  </si>
  <si>
    <t>DYNAMIQ - 24W - STREET LIGHT</t>
  </si>
  <si>
    <t>DYNAMIQ - 36W - STREET LIGHT</t>
  </si>
  <si>
    <t>DYNAMIQ - 50W - STREET LIGHT</t>
  </si>
  <si>
    <t>DYNAMIQ - 72W - STREET LIGHT</t>
  </si>
  <si>
    <t>DYNAMIQ - 100W - STREET LIGHT</t>
  </si>
  <si>
    <t>DYNAMIQ - 150W - STREET LIGHT</t>
  </si>
  <si>
    <t>DYNAMIQ - 200W - STREET LIGHT</t>
  </si>
  <si>
    <t>KLOS - 50W - SENSOR - STREET LIGHT</t>
  </si>
  <si>
    <t>KLOS - 100W - SENSOR - STREET LIGHT</t>
  </si>
  <si>
    <t>KIRA - 3W - SOLAR - WALL - 8-12H - WH</t>
  </si>
  <si>
    <t>TRONIX - 7W - SOLAR - STREET - 8-12H - WH</t>
  </si>
  <si>
    <t>TRONIX - 13W - SOLAR - STREET - 8-12H - WH</t>
  </si>
  <si>
    <t>TRONIX - 18W - SOLAR - STREET - 8-12H - WH</t>
  </si>
  <si>
    <t>TRONIX - 36W - SOLAR - STREET - 8-12H - WH</t>
  </si>
  <si>
    <t>SUNIX - 4W - SOLAR - WALL LIGHT - 10-12H - WW</t>
  </si>
  <si>
    <t>SUNIX - 4W - SOLAR - WALL LIGHT - 10-12H - MULTI</t>
  </si>
  <si>
    <t>SUNIX - 6W - SOLAR - WALL LIGHT - 10-12H - WW</t>
  </si>
  <si>
    <t>SUNIX - 6W - SOLAR - WALL LIGHT - 10-12H - MULTI</t>
  </si>
  <si>
    <t>KNOX - 6W - SOLAR - WALL LIGHT - 10-12H - WW</t>
  </si>
  <si>
    <t>KNOX - 6W - SOLAR - WALL LIGHT - 10-12H - MULTI</t>
  </si>
  <si>
    <t>SQUAR - 10W - SOLAR - GATE LIGHT - 8-12H - MULTI</t>
  </si>
  <si>
    <t>HEXEL - 10W - SOLAR - GATE LIGHT - 8-12H - MULTI</t>
  </si>
  <si>
    <t>TRIKA - 10W - SOLAR - GATE LIGHT - 8-12H - MULTI</t>
  </si>
  <si>
    <t>ROLAR - 10W - SOLAR - GATE LIGHT - 8-12H - MULTI</t>
  </si>
  <si>
    <t>GLOBY - 10W - SOLAR - GARDEN LIGHT - 8-12H - MULTI</t>
  </si>
  <si>
    <t>ORBIX - 10W - SOLAR - GARDEN LIGHT - 8-12H - WH</t>
  </si>
  <si>
    <t>ORBIX - 10W - SOLAR - GARDEN LIGHT - 8-12H - MULTI</t>
  </si>
  <si>
    <t>SOLITE- 10W - SOLAR - MINI STREET LIGHT - 8-12H - WH</t>
  </si>
  <si>
    <t>DRAGO - 40W - WELL GLASS - CLEAR</t>
  </si>
  <si>
    <t>DRAGO - 40W - WELL GLASS - FROSTED</t>
  </si>
  <si>
    <t>DOMYNO - 50W - HIGH BAY</t>
  </si>
  <si>
    <t>DOMYNO - 100W - HIGH BAY</t>
  </si>
  <si>
    <t>DOMYNO - 150W - HIGH BAY</t>
  </si>
  <si>
    <t>DOMYNO - 200W - HIGH BAY</t>
  </si>
  <si>
    <t>PRIMA - 100W - HIGH BAY</t>
  </si>
  <si>
    <t>PRIMA - 150W - HIGH BAY</t>
  </si>
  <si>
    <t>ALYX - MULTIPLUG - 6/16A</t>
  </si>
  <si>
    <t>KONVERT - MULTIPLUG - 6/16A</t>
  </si>
  <si>
    <t>TIC TAC 12w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</si>
</sst>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43" fontId="1" fillId="0" borderId="1" xfId="1" applyFont="1" applyBorder="1"/>
    <xf numFmtId="43" fontId="2" fillId="0" borderId="1" xfId="1" applyFont="1" applyBorder="1"/>
    <xf numFmtId="164" fontId="2" fillId="0" borderId="1" xfId="1" applyNumberFormat="1" applyFont="1" applyBorder="1"/>
    <xf numFmtId="0" fontId="0" fillId="2" borderId="1" xfId="0" applyFill="1" applyBorder="1"/>
    <xf numFmtId="43" fontId="1" fillId="0" borderId="1" xfId="1" applyFont="1" applyFill="1" applyBorder="1"/>
    <xf numFmtId="43" fontId="2" fillId="0" borderId="1" xfId="1" applyFont="1" applyFill="1" applyBorder="1"/>
    <xf numFmtId="164" fontId="2" fillId="0" borderId="1" xfId="1" applyNumberFormat="1" applyFont="1" applyFill="1" applyBorder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8582-73DD-4804-B2AB-965226E156C1}">
  <dimension ref="A1:F444"/>
  <sheetViews>
    <sheetView tabSelected="1" workbookViewId="0">
      <selection activeCell="A4" sqref="A4"/>
    </sheetView>
  </sheetViews>
  <sheetFormatPr defaultRowHeight="15" x14ac:dyDescent="0.25"/>
  <cols>
    <col min="1" max="1" width="52.140625" bestFit="1" customWidth="1"/>
    <col min="2" max="4" width="10" bestFit="1" customWidth="1"/>
    <col min="5" max="5" width="7.42578125" bestFit="1" customWidth="1"/>
  </cols>
  <sheetData>
    <row r="1" spans="1: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25">
      <c r="A2" s="1" t="s">
        <v>447</v>
      </c>
      <c r="B2" s="2">
        <v>790</v>
      </c>
      <c r="C2" s="3">
        <f t="shared" ref="C2:C75" si="0">B2-(B2*58/100)</f>
        <v>331.8</v>
      </c>
      <c r="D2" s="3">
        <f t="shared" ref="D2:D75" si="1">B2-(B2*59/100)</f>
        <v>323.89999999999998</v>
      </c>
      <c r="E2" s="4">
        <f t="shared" ref="E2:E75" si="2">B2-(B2*56/100)</f>
        <v>347.6</v>
      </c>
      <c r="F2" s="4">
        <f t="shared" ref="F2:F75" si="3">ROUNDUP(B2-(B2*46/100),0)</f>
        <v>427</v>
      </c>
    </row>
    <row r="3" spans="1:6" x14ac:dyDescent="0.25">
      <c r="A3" s="1" t="s">
        <v>6</v>
      </c>
      <c r="B3" s="2">
        <v>1240</v>
      </c>
      <c r="C3" s="3">
        <f t="shared" si="0"/>
        <v>520.79999999999995</v>
      </c>
      <c r="D3" s="3">
        <f t="shared" si="1"/>
        <v>508.4</v>
      </c>
      <c r="E3" s="4">
        <f t="shared" si="2"/>
        <v>545.6</v>
      </c>
      <c r="F3" s="4">
        <f t="shared" si="3"/>
        <v>670</v>
      </c>
    </row>
    <row r="4" spans="1:6" x14ac:dyDescent="0.25">
      <c r="A4" s="1" t="s">
        <v>7</v>
      </c>
      <c r="B4" s="2">
        <v>2010</v>
      </c>
      <c r="C4" s="3">
        <f t="shared" si="0"/>
        <v>844.2</v>
      </c>
      <c r="D4" s="3">
        <f t="shared" si="1"/>
        <v>824.09999999999991</v>
      </c>
      <c r="E4" s="4">
        <f t="shared" si="2"/>
        <v>884.40000000000009</v>
      </c>
      <c r="F4" s="4">
        <f t="shared" si="3"/>
        <v>1086</v>
      </c>
    </row>
    <row r="5" spans="1:6" x14ac:dyDescent="0.25">
      <c r="A5" s="1" t="s">
        <v>8</v>
      </c>
      <c r="B5" s="2">
        <v>420</v>
      </c>
      <c r="C5" s="3">
        <f t="shared" si="0"/>
        <v>176.4</v>
      </c>
      <c r="D5" s="3">
        <f t="shared" si="1"/>
        <v>172.2</v>
      </c>
      <c r="E5" s="4">
        <f t="shared" si="2"/>
        <v>184.8</v>
      </c>
      <c r="F5" s="4">
        <f t="shared" si="3"/>
        <v>227</v>
      </c>
    </row>
    <row r="6" spans="1:6" x14ac:dyDescent="0.25">
      <c r="A6" s="1" t="s">
        <v>9</v>
      </c>
      <c r="B6" s="2">
        <v>690</v>
      </c>
      <c r="C6" s="3">
        <f t="shared" si="0"/>
        <v>289.8</v>
      </c>
      <c r="D6" s="3">
        <f t="shared" si="1"/>
        <v>282.89999999999998</v>
      </c>
      <c r="E6" s="4">
        <f t="shared" si="2"/>
        <v>303.60000000000002</v>
      </c>
      <c r="F6" s="4">
        <f t="shared" si="3"/>
        <v>373</v>
      </c>
    </row>
    <row r="7" spans="1:6" x14ac:dyDescent="0.25">
      <c r="A7" s="1" t="s">
        <v>10</v>
      </c>
      <c r="B7" s="2">
        <v>1130</v>
      </c>
      <c r="C7" s="3">
        <f t="shared" si="0"/>
        <v>474.6</v>
      </c>
      <c r="D7" s="3">
        <f t="shared" si="1"/>
        <v>463.29999999999995</v>
      </c>
      <c r="E7" s="4">
        <f t="shared" si="2"/>
        <v>497.20000000000005</v>
      </c>
      <c r="F7" s="4">
        <f t="shared" si="3"/>
        <v>611</v>
      </c>
    </row>
    <row r="8" spans="1:6" x14ac:dyDescent="0.25">
      <c r="A8" s="1" t="s">
        <v>11</v>
      </c>
      <c r="B8" s="2">
        <v>345</v>
      </c>
      <c r="C8" s="3">
        <f t="shared" si="0"/>
        <v>144.9</v>
      </c>
      <c r="D8" s="3">
        <f t="shared" si="1"/>
        <v>141.44999999999999</v>
      </c>
      <c r="E8" s="4">
        <f t="shared" si="2"/>
        <v>151.80000000000001</v>
      </c>
      <c r="F8" s="4">
        <f t="shared" si="3"/>
        <v>187</v>
      </c>
    </row>
    <row r="9" spans="1:6" x14ac:dyDescent="0.25">
      <c r="A9" s="1" t="s">
        <v>12</v>
      </c>
      <c r="B9" s="2">
        <v>515</v>
      </c>
      <c r="C9" s="3">
        <f t="shared" si="0"/>
        <v>216.3</v>
      </c>
      <c r="D9" s="3">
        <f t="shared" si="1"/>
        <v>211.14999999999998</v>
      </c>
      <c r="E9" s="4">
        <f t="shared" si="2"/>
        <v>226.60000000000002</v>
      </c>
      <c r="F9" s="4">
        <f t="shared" si="3"/>
        <v>279</v>
      </c>
    </row>
    <row r="10" spans="1:6" x14ac:dyDescent="0.25">
      <c r="A10" s="1" t="s">
        <v>13</v>
      </c>
      <c r="B10" s="2">
        <v>580</v>
      </c>
      <c r="C10" s="3">
        <f t="shared" si="0"/>
        <v>243.60000000000002</v>
      </c>
      <c r="D10" s="3">
        <f t="shared" si="1"/>
        <v>237.8</v>
      </c>
      <c r="E10" s="4">
        <f t="shared" si="2"/>
        <v>255.2</v>
      </c>
      <c r="F10" s="4">
        <f t="shared" si="3"/>
        <v>314</v>
      </c>
    </row>
    <row r="11" spans="1:6" x14ac:dyDescent="0.25">
      <c r="A11" s="1" t="s">
        <v>14</v>
      </c>
      <c r="B11" s="2">
        <v>940</v>
      </c>
      <c r="C11" s="3">
        <f t="shared" si="0"/>
        <v>394.79999999999995</v>
      </c>
      <c r="D11" s="3">
        <f t="shared" si="1"/>
        <v>385.4</v>
      </c>
      <c r="E11" s="4">
        <f t="shared" si="2"/>
        <v>413.6</v>
      </c>
      <c r="F11" s="4">
        <f t="shared" si="3"/>
        <v>508</v>
      </c>
    </row>
    <row r="12" spans="1:6" x14ac:dyDescent="0.25">
      <c r="A12" s="1" t="s">
        <v>15</v>
      </c>
      <c r="B12" s="2">
        <v>315</v>
      </c>
      <c r="C12" s="3">
        <f t="shared" si="0"/>
        <v>132.30000000000001</v>
      </c>
      <c r="D12" s="3">
        <f t="shared" si="1"/>
        <v>129.15</v>
      </c>
      <c r="E12" s="4">
        <f t="shared" si="2"/>
        <v>138.6</v>
      </c>
      <c r="F12" s="4">
        <f t="shared" si="3"/>
        <v>171</v>
      </c>
    </row>
    <row r="13" spans="1:6" x14ac:dyDescent="0.25">
      <c r="A13" s="1" t="s">
        <v>16</v>
      </c>
      <c r="B13" s="2">
        <v>545</v>
      </c>
      <c r="C13" s="3">
        <f t="shared" si="0"/>
        <v>228.89999999999998</v>
      </c>
      <c r="D13" s="3">
        <f t="shared" si="1"/>
        <v>223.45</v>
      </c>
      <c r="E13" s="4">
        <f t="shared" si="2"/>
        <v>239.8</v>
      </c>
      <c r="F13" s="4">
        <f t="shared" si="3"/>
        <v>295</v>
      </c>
    </row>
    <row r="14" spans="1:6" x14ac:dyDescent="0.25">
      <c r="A14" s="1" t="s">
        <v>17</v>
      </c>
      <c r="B14" s="2">
        <v>435</v>
      </c>
      <c r="C14" s="3">
        <f t="shared" si="0"/>
        <v>182.7</v>
      </c>
      <c r="D14" s="3">
        <f t="shared" si="1"/>
        <v>178.35000000000002</v>
      </c>
      <c r="E14" s="4">
        <f t="shared" si="2"/>
        <v>191.4</v>
      </c>
      <c r="F14" s="4">
        <f t="shared" si="3"/>
        <v>235</v>
      </c>
    </row>
    <row r="15" spans="1:6" x14ac:dyDescent="0.25">
      <c r="A15" s="1" t="s">
        <v>18</v>
      </c>
      <c r="B15" s="2">
        <v>460</v>
      </c>
      <c r="C15" s="3">
        <f t="shared" si="0"/>
        <v>193.2</v>
      </c>
      <c r="D15" s="3">
        <f t="shared" si="1"/>
        <v>188.60000000000002</v>
      </c>
      <c r="E15" s="4">
        <f t="shared" si="2"/>
        <v>202.39999999999998</v>
      </c>
      <c r="F15" s="4">
        <f t="shared" si="3"/>
        <v>249</v>
      </c>
    </row>
    <row r="16" spans="1:6" x14ac:dyDescent="0.25">
      <c r="A16" s="1" t="s">
        <v>19</v>
      </c>
      <c r="B16" s="2">
        <v>281</v>
      </c>
      <c r="C16" s="3">
        <f t="shared" si="0"/>
        <v>118.02000000000001</v>
      </c>
      <c r="D16" s="3">
        <f t="shared" si="1"/>
        <v>115.21000000000001</v>
      </c>
      <c r="E16" s="4">
        <f t="shared" si="2"/>
        <v>123.63999999999999</v>
      </c>
      <c r="F16" s="4">
        <f t="shared" si="3"/>
        <v>152</v>
      </c>
    </row>
    <row r="17" spans="1:6" x14ac:dyDescent="0.25">
      <c r="A17" s="1" t="s">
        <v>20</v>
      </c>
      <c r="B17" s="2">
        <v>323</v>
      </c>
      <c r="C17" s="3">
        <f t="shared" si="0"/>
        <v>135.66</v>
      </c>
      <c r="D17" s="3">
        <f t="shared" si="1"/>
        <v>132.43</v>
      </c>
      <c r="E17" s="4">
        <f t="shared" si="2"/>
        <v>142.12</v>
      </c>
      <c r="F17" s="4">
        <f t="shared" si="3"/>
        <v>175</v>
      </c>
    </row>
    <row r="18" spans="1:6" x14ac:dyDescent="0.25">
      <c r="A18" s="1" t="s">
        <v>21</v>
      </c>
      <c r="B18" s="2">
        <v>405</v>
      </c>
      <c r="C18" s="3">
        <f t="shared" si="0"/>
        <v>170.1</v>
      </c>
      <c r="D18" s="3">
        <f t="shared" si="1"/>
        <v>166.05</v>
      </c>
      <c r="E18" s="4">
        <f t="shared" si="2"/>
        <v>178.2</v>
      </c>
      <c r="F18" s="4">
        <f t="shared" si="3"/>
        <v>219</v>
      </c>
    </row>
    <row r="19" spans="1:6" x14ac:dyDescent="0.25">
      <c r="A19" s="1" t="s">
        <v>22</v>
      </c>
      <c r="B19" s="2">
        <v>585</v>
      </c>
      <c r="C19" s="3">
        <f t="shared" si="0"/>
        <v>245.7</v>
      </c>
      <c r="D19" s="3">
        <f t="shared" si="1"/>
        <v>239.85000000000002</v>
      </c>
      <c r="E19" s="4">
        <f t="shared" si="2"/>
        <v>257.39999999999998</v>
      </c>
      <c r="F19" s="4">
        <f t="shared" si="3"/>
        <v>316</v>
      </c>
    </row>
    <row r="20" spans="1:6" x14ac:dyDescent="0.25">
      <c r="A20" s="1" t="s">
        <v>23</v>
      </c>
      <c r="B20" s="2">
        <v>790</v>
      </c>
      <c r="C20" s="3">
        <f t="shared" si="0"/>
        <v>331.8</v>
      </c>
      <c r="D20" s="3">
        <f t="shared" si="1"/>
        <v>323.89999999999998</v>
      </c>
      <c r="E20" s="4">
        <f t="shared" si="2"/>
        <v>347.6</v>
      </c>
      <c r="F20" s="4">
        <f t="shared" si="3"/>
        <v>427</v>
      </c>
    </row>
    <row r="21" spans="1:6" x14ac:dyDescent="0.25">
      <c r="A21" s="1" t="s">
        <v>24</v>
      </c>
      <c r="B21" s="2">
        <v>335</v>
      </c>
      <c r="C21" s="3">
        <f t="shared" si="0"/>
        <v>140.69999999999999</v>
      </c>
      <c r="D21" s="3">
        <f t="shared" si="1"/>
        <v>137.35</v>
      </c>
      <c r="E21" s="4">
        <f t="shared" si="2"/>
        <v>147.4</v>
      </c>
      <c r="F21" s="4">
        <f t="shared" si="3"/>
        <v>181</v>
      </c>
    </row>
    <row r="22" spans="1:6" x14ac:dyDescent="0.25">
      <c r="A22" s="1" t="s">
        <v>25</v>
      </c>
      <c r="B22" s="2">
        <v>350</v>
      </c>
      <c r="C22" s="3">
        <f t="shared" si="0"/>
        <v>147</v>
      </c>
      <c r="D22" s="3">
        <f t="shared" si="1"/>
        <v>143.5</v>
      </c>
      <c r="E22" s="4">
        <f t="shared" si="2"/>
        <v>154</v>
      </c>
      <c r="F22" s="4">
        <f t="shared" si="3"/>
        <v>189</v>
      </c>
    </row>
    <row r="23" spans="1:6" x14ac:dyDescent="0.25">
      <c r="A23" s="1" t="s">
        <v>26</v>
      </c>
      <c r="B23" s="2">
        <v>425</v>
      </c>
      <c r="C23" s="3">
        <f t="shared" si="0"/>
        <v>178.5</v>
      </c>
      <c r="D23" s="3">
        <f t="shared" si="1"/>
        <v>174.25</v>
      </c>
      <c r="E23" s="4">
        <f t="shared" si="2"/>
        <v>187</v>
      </c>
      <c r="F23" s="4">
        <f t="shared" si="3"/>
        <v>230</v>
      </c>
    </row>
    <row r="24" spans="1:6" x14ac:dyDescent="0.25">
      <c r="A24" s="1" t="s">
        <v>27</v>
      </c>
      <c r="B24" s="2">
        <v>445</v>
      </c>
      <c r="C24" s="3">
        <f t="shared" si="0"/>
        <v>186.89999999999998</v>
      </c>
      <c r="D24" s="3">
        <f t="shared" si="1"/>
        <v>182.45</v>
      </c>
      <c r="E24" s="4">
        <f t="shared" si="2"/>
        <v>195.8</v>
      </c>
      <c r="F24" s="4">
        <f t="shared" si="3"/>
        <v>241</v>
      </c>
    </row>
    <row r="25" spans="1:6" x14ac:dyDescent="0.25">
      <c r="A25" s="1" t="s">
        <v>28</v>
      </c>
      <c r="B25" s="2">
        <v>575</v>
      </c>
      <c r="C25" s="3">
        <f t="shared" si="0"/>
        <v>241.5</v>
      </c>
      <c r="D25" s="3">
        <f t="shared" si="1"/>
        <v>235.75</v>
      </c>
      <c r="E25" s="4">
        <f t="shared" si="2"/>
        <v>253</v>
      </c>
      <c r="F25" s="4">
        <f t="shared" si="3"/>
        <v>311</v>
      </c>
    </row>
    <row r="26" spans="1:6" x14ac:dyDescent="0.25">
      <c r="A26" s="1" t="s">
        <v>29</v>
      </c>
      <c r="B26" s="2">
        <v>610</v>
      </c>
      <c r="C26" s="3">
        <f t="shared" si="0"/>
        <v>256.2</v>
      </c>
      <c r="D26" s="3">
        <f t="shared" si="1"/>
        <v>250.10000000000002</v>
      </c>
      <c r="E26" s="4">
        <f t="shared" si="2"/>
        <v>268.39999999999998</v>
      </c>
      <c r="F26" s="4">
        <f t="shared" si="3"/>
        <v>330</v>
      </c>
    </row>
    <row r="27" spans="1:6" x14ac:dyDescent="0.25">
      <c r="A27" s="1" t="s">
        <v>30</v>
      </c>
      <c r="B27" s="2">
        <v>835</v>
      </c>
      <c r="C27" s="3">
        <f t="shared" si="0"/>
        <v>350.7</v>
      </c>
      <c r="D27" s="3">
        <f t="shared" si="1"/>
        <v>342.35</v>
      </c>
      <c r="E27" s="4">
        <f t="shared" si="2"/>
        <v>367.4</v>
      </c>
      <c r="F27" s="4">
        <f t="shared" si="3"/>
        <v>451</v>
      </c>
    </row>
    <row r="28" spans="1:6" x14ac:dyDescent="0.25">
      <c r="A28" s="1" t="s">
        <v>31</v>
      </c>
      <c r="B28" s="2">
        <v>890</v>
      </c>
      <c r="C28" s="3">
        <f t="shared" si="0"/>
        <v>373.79999999999995</v>
      </c>
      <c r="D28" s="3">
        <f t="shared" si="1"/>
        <v>364.9</v>
      </c>
      <c r="E28" s="4">
        <f t="shared" si="2"/>
        <v>391.6</v>
      </c>
      <c r="F28" s="4">
        <f t="shared" si="3"/>
        <v>481</v>
      </c>
    </row>
    <row r="29" spans="1:6" x14ac:dyDescent="0.25">
      <c r="A29" s="1" t="s">
        <v>32</v>
      </c>
      <c r="B29" s="2">
        <v>1895</v>
      </c>
      <c r="C29" s="3">
        <f t="shared" si="0"/>
        <v>795.90000000000009</v>
      </c>
      <c r="D29" s="3">
        <f t="shared" si="1"/>
        <v>776.95</v>
      </c>
      <c r="E29" s="4">
        <f t="shared" si="2"/>
        <v>833.8</v>
      </c>
      <c r="F29" s="4">
        <f t="shared" si="3"/>
        <v>1024</v>
      </c>
    </row>
    <row r="30" spans="1:6" x14ac:dyDescent="0.25">
      <c r="A30" s="1" t="s">
        <v>33</v>
      </c>
      <c r="B30" s="2">
        <v>440</v>
      </c>
      <c r="C30" s="3">
        <f t="shared" si="0"/>
        <v>184.8</v>
      </c>
      <c r="D30" s="3">
        <f t="shared" si="1"/>
        <v>180.39999999999998</v>
      </c>
      <c r="E30" s="4">
        <f t="shared" si="2"/>
        <v>193.6</v>
      </c>
      <c r="F30" s="4">
        <f t="shared" si="3"/>
        <v>238</v>
      </c>
    </row>
    <row r="31" spans="1:6" x14ac:dyDescent="0.25">
      <c r="A31" s="1" t="s">
        <v>34</v>
      </c>
      <c r="B31" s="2">
        <v>795</v>
      </c>
      <c r="C31" s="3">
        <f t="shared" si="0"/>
        <v>333.9</v>
      </c>
      <c r="D31" s="3">
        <f t="shared" si="1"/>
        <v>325.95</v>
      </c>
      <c r="E31" s="4">
        <f t="shared" si="2"/>
        <v>349.8</v>
      </c>
      <c r="F31" s="4">
        <f t="shared" si="3"/>
        <v>430</v>
      </c>
    </row>
    <row r="32" spans="1:6" x14ac:dyDescent="0.25">
      <c r="A32" s="1" t="s">
        <v>35</v>
      </c>
      <c r="B32" s="2">
        <v>415</v>
      </c>
      <c r="C32" s="3">
        <f>B32-(B32*58/100)</f>
        <v>174.3</v>
      </c>
      <c r="D32" s="3">
        <f t="shared" si="1"/>
        <v>170.15</v>
      </c>
      <c r="E32" s="4">
        <f t="shared" si="2"/>
        <v>182.6</v>
      </c>
      <c r="F32" s="4">
        <f t="shared" si="3"/>
        <v>225</v>
      </c>
    </row>
    <row r="33" spans="1:6" x14ac:dyDescent="0.25">
      <c r="A33" s="1" t="s">
        <v>36</v>
      </c>
      <c r="B33" s="2">
        <v>595</v>
      </c>
      <c r="C33" s="3">
        <f>B33-(B33*58/100)</f>
        <v>249.89999999999998</v>
      </c>
      <c r="D33" s="3">
        <f t="shared" si="1"/>
        <v>243.95</v>
      </c>
      <c r="E33" s="4">
        <f t="shared" si="2"/>
        <v>261.8</v>
      </c>
      <c r="F33" s="4">
        <f t="shared" si="3"/>
        <v>322</v>
      </c>
    </row>
    <row r="34" spans="1:6" x14ac:dyDescent="0.25">
      <c r="A34" s="1" t="s">
        <v>37</v>
      </c>
      <c r="B34" s="2">
        <v>680</v>
      </c>
      <c r="C34" s="3">
        <f>B34-(B34*58/100)</f>
        <v>285.60000000000002</v>
      </c>
      <c r="D34" s="3">
        <f t="shared" si="1"/>
        <v>278.8</v>
      </c>
      <c r="E34" s="4">
        <f t="shared" si="2"/>
        <v>299.2</v>
      </c>
      <c r="F34" s="4">
        <f t="shared" si="3"/>
        <v>368</v>
      </c>
    </row>
    <row r="35" spans="1:6" x14ac:dyDescent="0.25">
      <c r="A35" s="1" t="s">
        <v>38</v>
      </c>
      <c r="B35" s="2">
        <v>825</v>
      </c>
      <c r="C35" s="3">
        <f>B35-(B35*58/100)</f>
        <v>346.5</v>
      </c>
      <c r="D35" s="3">
        <f t="shared" si="1"/>
        <v>338.25</v>
      </c>
      <c r="E35" s="4">
        <f t="shared" si="2"/>
        <v>363</v>
      </c>
      <c r="F35" s="4">
        <f t="shared" si="3"/>
        <v>446</v>
      </c>
    </row>
    <row r="36" spans="1:6" x14ac:dyDescent="0.25">
      <c r="A36" s="1" t="s">
        <v>39</v>
      </c>
      <c r="B36" s="2">
        <v>305</v>
      </c>
      <c r="C36" s="3">
        <f t="shared" si="0"/>
        <v>128.1</v>
      </c>
      <c r="D36" s="3">
        <f t="shared" si="1"/>
        <v>125.05000000000001</v>
      </c>
      <c r="E36" s="4">
        <f t="shared" si="2"/>
        <v>134.19999999999999</v>
      </c>
      <c r="F36" s="4">
        <f t="shared" si="3"/>
        <v>165</v>
      </c>
    </row>
    <row r="37" spans="1:6" x14ac:dyDescent="0.25">
      <c r="A37" s="1" t="s">
        <v>40</v>
      </c>
      <c r="B37" s="2">
        <v>305</v>
      </c>
      <c r="C37" s="3">
        <f t="shared" si="0"/>
        <v>128.1</v>
      </c>
      <c r="D37" s="3">
        <f t="shared" si="1"/>
        <v>125.05000000000001</v>
      </c>
      <c r="E37" s="4">
        <f t="shared" si="2"/>
        <v>134.19999999999999</v>
      </c>
      <c r="F37" s="4">
        <f t="shared" si="3"/>
        <v>165</v>
      </c>
    </row>
    <row r="38" spans="1:6" x14ac:dyDescent="0.25">
      <c r="A38" s="1" t="s">
        <v>41</v>
      </c>
      <c r="B38" s="2">
        <v>420</v>
      </c>
      <c r="C38" s="3">
        <f t="shared" si="0"/>
        <v>176.4</v>
      </c>
      <c r="D38" s="3">
        <f t="shared" si="1"/>
        <v>172.2</v>
      </c>
      <c r="E38" s="4">
        <f t="shared" si="2"/>
        <v>184.8</v>
      </c>
      <c r="F38" s="4">
        <f t="shared" si="3"/>
        <v>227</v>
      </c>
    </row>
    <row r="39" spans="1:6" x14ac:dyDescent="0.25">
      <c r="A39" s="1" t="s">
        <v>42</v>
      </c>
      <c r="B39" s="2">
        <v>420</v>
      </c>
      <c r="C39" s="3">
        <f t="shared" si="0"/>
        <v>176.4</v>
      </c>
      <c r="D39" s="3">
        <f t="shared" si="1"/>
        <v>172.2</v>
      </c>
      <c r="E39" s="4">
        <f t="shared" si="2"/>
        <v>184.8</v>
      </c>
      <c r="F39" s="4">
        <f t="shared" si="3"/>
        <v>227</v>
      </c>
    </row>
    <row r="40" spans="1:6" x14ac:dyDescent="0.25">
      <c r="A40" s="1" t="s">
        <v>43</v>
      </c>
      <c r="B40" s="2">
        <v>540</v>
      </c>
      <c r="C40" s="3">
        <f t="shared" si="0"/>
        <v>226.8</v>
      </c>
      <c r="D40" s="3">
        <f t="shared" si="1"/>
        <v>221.39999999999998</v>
      </c>
      <c r="E40" s="4">
        <f t="shared" si="2"/>
        <v>237.60000000000002</v>
      </c>
      <c r="F40" s="4">
        <f t="shared" si="3"/>
        <v>292</v>
      </c>
    </row>
    <row r="41" spans="1:6" x14ac:dyDescent="0.25">
      <c r="A41" s="1" t="s">
        <v>44</v>
      </c>
      <c r="B41" s="2">
        <v>540</v>
      </c>
      <c r="C41" s="3">
        <f t="shared" si="0"/>
        <v>226.8</v>
      </c>
      <c r="D41" s="3">
        <f t="shared" si="1"/>
        <v>221.39999999999998</v>
      </c>
      <c r="E41" s="4">
        <f t="shared" si="2"/>
        <v>237.60000000000002</v>
      </c>
      <c r="F41" s="4">
        <f t="shared" si="3"/>
        <v>292</v>
      </c>
    </row>
    <row r="42" spans="1:6" x14ac:dyDescent="0.25">
      <c r="A42" s="1" t="s">
        <v>45</v>
      </c>
      <c r="B42" s="2">
        <v>715</v>
      </c>
      <c r="C42" s="3">
        <f t="shared" si="0"/>
        <v>300.3</v>
      </c>
      <c r="D42" s="3">
        <f t="shared" si="1"/>
        <v>293.14999999999998</v>
      </c>
      <c r="E42" s="4">
        <f t="shared" si="2"/>
        <v>314.60000000000002</v>
      </c>
      <c r="F42" s="4">
        <f t="shared" si="3"/>
        <v>387</v>
      </c>
    </row>
    <row r="43" spans="1:6" x14ac:dyDescent="0.25">
      <c r="A43" s="1" t="s">
        <v>46</v>
      </c>
      <c r="B43" s="2">
        <v>715</v>
      </c>
      <c r="C43" s="3">
        <f t="shared" si="0"/>
        <v>300.3</v>
      </c>
      <c r="D43" s="3">
        <f t="shared" si="1"/>
        <v>293.14999999999998</v>
      </c>
      <c r="E43" s="4">
        <f t="shared" si="2"/>
        <v>314.60000000000002</v>
      </c>
      <c r="F43" s="4">
        <f t="shared" si="3"/>
        <v>387</v>
      </c>
    </row>
    <row r="44" spans="1:6" x14ac:dyDescent="0.25">
      <c r="A44" s="1" t="s">
        <v>47</v>
      </c>
      <c r="B44" s="2">
        <v>1000</v>
      </c>
      <c r="C44" s="3">
        <f t="shared" si="0"/>
        <v>420</v>
      </c>
      <c r="D44" s="3">
        <f t="shared" si="1"/>
        <v>410</v>
      </c>
      <c r="E44" s="4">
        <f t="shared" si="2"/>
        <v>440</v>
      </c>
      <c r="F44" s="4">
        <f t="shared" si="3"/>
        <v>540</v>
      </c>
    </row>
    <row r="45" spans="1:6" x14ac:dyDescent="0.25">
      <c r="A45" s="1" t="s">
        <v>48</v>
      </c>
      <c r="B45" s="2">
        <v>395</v>
      </c>
      <c r="C45" s="3">
        <f t="shared" si="0"/>
        <v>165.9</v>
      </c>
      <c r="D45" s="3">
        <f t="shared" si="1"/>
        <v>161.94999999999999</v>
      </c>
      <c r="E45" s="4">
        <f t="shared" si="2"/>
        <v>173.8</v>
      </c>
      <c r="F45" s="4">
        <f t="shared" si="3"/>
        <v>214</v>
      </c>
    </row>
    <row r="46" spans="1:6" x14ac:dyDescent="0.25">
      <c r="A46" s="1" t="s">
        <v>49</v>
      </c>
      <c r="B46" s="2">
        <v>395</v>
      </c>
      <c r="C46" s="3">
        <f t="shared" si="0"/>
        <v>165.9</v>
      </c>
      <c r="D46" s="3">
        <f t="shared" si="1"/>
        <v>161.94999999999999</v>
      </c>
      <c r="E46" s="4">
        <f t="shared" si="2"/>
        <v>173.8</v>
      </c>
      <c r="F46" s="4">
        <f t="shared" si="3"/>
        <v>214</v>
      </c>
    </row>
    <row r="47" spans="1:6" x14ac:dyDescent="0.25">
      <c r="A47" s="1" t="s">
        <v>50</v>
      </c>
      <c r="B47" s="2">
        <v>565</v>
      </c>
      <c r="C47" s="3">
        <f t="shared" si="0"/>
        <v>237.3</v>
      </c>
      <c r="D47" s="3">
        <f t="shared" si="1"/>
        <v>231.64999999999998</v>
      </c>
      <c r="E47" s="4">
        <f t="shared" si="2"/>
        <v>248.60000000000002</v>
      </c>
      <c r="F47" s="4">
        <f t="shared" si="3"/>
        <v>306</v>
      </c>
    </row>
    <row r="48" spans="1:6" x14ac:dyDescent="0.25">
      <c r="A48" s="1" t="s">
        <v>51</v>
      </c>
      <c r="B48" s="2">
        <v>565</v>
      </c>
      <c r="C48" s="3">
        <f t="shared" si="0"/>
        <v>237.3</v>
      </c>
      <c r="D48" s="3">
        <f t="shared" si="1"/>
        <v>231.64999999999998</v>
      </c>
      <c r="E48" s="4">
        <f t="shared" si="2"/>
        <v>248.60000000000002</v>
      </c>
      <c r="F48" s="4">
        <f t="shared" si="3"/>
        <v>306</v>
      </c>
    </row>
    <row r="49" spans="1:6" x14ac:dyDescent="0.25">
      <c r="A49" s="1" t="s">
        <v>52</v>
      </c>
      <c r="B49" s="2">
        <v>765</v>
      </c>
      <c r="C49" s="3">
        <f t="shared" si="0"/>
        <v>321.3</v>
      </c>
      <c r="D49" s="3">
        <f t="shared" si="1"/>
        <v>313.64999999999998</v>
      </c>
      <c r="E49" s="4">
        <f t="shared" si="2"/>
        <v>336.6</v>
      </c>
      <c r="F49" s="4">
        <f t="shared" si="3"/>
        <v>414</v>
      </c>
    </row>
    <row r="50" spans="1:6" x14ac:dyDescent="0.25">
      <c r="A50" s="1" t="s">
        <v>53</v>
      </c>
      <c r="B50" s="2">
        <v>765</v>
      </c>
      <c r="C50" s="3">
        <f t="shared" si="0"/>
        <v>321.3</v>
      </c>
      <c r="D50" s="3">
        <f t="shared" si="1"/>
        <v>313.64999999999998</v>
      </c>
      <c r="E50" s="4">
        <f t="shared" si="2"/>
        <v>336.6</v>
      </c>
      <c r="F50" s="4">
        <f t="shared" si="3"/>
        <v>414</v>
      </c>
    </row>
    <row r="51" spans="1:6" x14ac:dyDescent="0.25">
      <c r="A51" s="1" t="s">
        <v>54</v>
      </c>
      <c r="B51" s="2">
        <v>420</v>
      </c>
      <c r="C51" s="3">
        <f t="shared" si="0"/>
        <v>176.4</v>
      </c>
      <c r="D51" s="3">
        <f t="shared" si="1"/>
        <v>172.2</v>
      </c>
      <c r="E51" s="4">
        <f t="shared" si="2"/>
        <v>184.8</v>
      </c>
      <c r="F51" s="4">
        <f t="shared" si="3"/>
        <v>227</v>
      </c>
    </row>
    <row r="52" spans="1:6" x14ac:dyDescent="0.25">
      <c r="A52" s="1" t="s">
        <v>55</v>
      </c>
      <c r="B52" s="2">
        <v>610</v>
      </c>
      <c r="C52" s="3">
        <f t="shared" si="0"/>
        <v>256.2</v>
      </c>
      <c r="D52" s="3">
        <f t="shared" si="1"/>
        <v>250.10000000000002</v>
      </c>
      <c r="E52" s="4">
        <f t="shared" si="2"/>
        <v>268.39999999999998</v>
      </c>
      <c r="F52" s="4">
        <f t="shared" si="3"/>
        <v>330</v>
      </c>
    </row>
    <row r="53" spans="1:6" x14ac:dyDescent="0.25">
      <c r="A53" s="1" t="s">
        <v>56</v>
      </c>
      <c r="B53" s="2">
        <v>565</v>
      </c>
      <c r="C53" s="3">
        <f>B53-(B53*58/100)</f>
        <v>237.3</v>
      </c>
      <c r="D53" s="3">
        <f>B53-(B53*59/100)</f>
        <v>231.64999999999998</v>
      </c>
      <c r="E53" s="4">
        <f>B53-(B53*56/100)</f>
        <v>248.60000000000002</v>
      </c>
      <c r="F53" s="4">
        <f>ROUNDUP(B53-(B53*46/100),0)</f>
        <v>306</v>
      </c>
    </row>
    <row r="54" spans="1:6" x14ac:dyDescent="0.25">
      <c r="A54" s="1" t="s">
        <v>57</v>
      </c>
      <c r="B54" s="2">
        <v>950</v>
      </c>
      <c r="C54" s="3">
        <f>B54-(B54*58/100)</f>
        <v>399</v>
      </c>
      <c r="D54" s="3">
        <f>B54-(B54*59/100)</f>
        <v>389.5</v>
      </c>
      <c r="E54" s="4">
        <f>B54-(B54*56/100)</f>
        <v>418</v>
      </c>
      <c r="F54" s="4">
        <f>ROUNDUP(B54-(B54*46/100),0)</f>
        <v>513</v>
      </c>
    </row>
    <row r="55" spans="1:6" x14ac:dyDescent="0.25">
      <c r="A55" s="1" t="s">
        <v>58</v>
      </c>
      <c r="B55" s="2">
        <v>500</v>
      </c>
      <c r="C55" s="3">
        <f>B55-(B55*58/100)</f>
        <v>210</v>
      </c>
      <c r="D55" s="3">
        <f>B55-(B55*59/100)</f>
        <v>205</v>
      </c>
      <c r="E55" s="4">
        <f>B55-(B55*56/100)</f>
        <v>220</v>
      </c>
      <c r="F55" s="4">
        <f>ROUNDUP(B55-(B55*46/100),0)</f>
        <v>270</v>
      </c>
    </row>
    <row r="56" spans="1:6" x14ac:dyDescent="0.25">
      <c r="A56" s="1" t="s">
        <v>59</v>
      </c>
      <c r="B56" s="2">
        <v>525</v>
      </c>
      <c r="C56" s="3">
        <f>B56-(B56*58/100)</f>
        <v>220.5</v>
      </c>
      <c r="D56" s="3">
        <f>B56-(B56*59/100)</f>
        <v>215.25</v>
      </c>
      <c r="E56" s="4">
        <f>B56-(B56*56/100)</f>
        <v>231</v>
      </c>
      <c r="F56" s="4">
        <f>ROUNDUP(B56-(B56*46/100),0)</f>
        <v>284</v>
      </c>
    </row>
    <row r="57" spans="1:6" x14ac:dyDescent="0.25">
      <c r="A57" s="1" t="s">
        <v>60</v>
      </c>
      <c r="B57" s="2">
        <v>610</v>
      </c>
      <c r="C57" s="3">
        <f t="shared" si="0"/>
        <v>256.2</v>
      </c>
      <c r="D57" s="3">
        <f t="shared" si="1"/>
        <v>250.10000000000002</v>
      </c>
      <c r="E57" s="4">
        <f t="shared" si="2"/>
        <v>268.39999999999998</v>
      </c>
      <c r="F57" s="4">
        <f t="shared" si="3"/>
        <v>330</v>
      </c>
    </row>
    <row r="58" spans="1:6" x14ac:dyDescent="0.25">
      <c r="A58" s="1" t="s">
        <v>61</v>
      </c>
      <c r="B58" s="2">
        <v>630</v>
      </c>
      <c r="C58" s="3">
        <f t="shared" si="0"/>
        <v>264.60000000000002</v>
      </c>
      <c r="D58" s="3">
        <f t="shared" si="1"/>
        <v>258.3</v>
      </c>
      <c r="E58" s="4">
        <f t="shared" si="2"/>
        <v>277.2</v>
      </c>
      <c r="F58" s="4">
        <f t="shared" si="3"/>
        <v>341</v>
      </c>
    </row>
    <row r="59" spans="1:6" x14ac:dyDescent="0.25">
      <c r="A59" s="1" t="s">
        <v>62</v>
      </c>
      <c r="B59" s="2">
        <v>975</v>
      </c>
      <c r="C59" s="3">
        <f t="shared" si="0"/>
        <v>409.5</v>
      </c>
      <c r="D59" s="3">
        <f t="shared" si="1"/>
        <v>399.75</v>
      </c>
      <c r="E59" s="4">
        <f t="shared" si="2"/>
        <v>429</v>
      </c>
      <c r="F59" s="4">
        <f t="shared" si="3"/>
        <v>527</v>
      </c>
    </row>
    <row r="60" spans="1:6" x14ac:dyDescent="0.25">
      <c r="A60" s="1" t="s">
        <v>63</v>
      </c>
      <c r="B60" s="2">
        <v>1005</v>
      </c>
      <c r="C60" s="3">
        <f t="shared" si="0"/>
        <v>422.1</v>
      </c>
      <c r="D60" s="3">
        <f t="shared" si="1"/>
        <v>412.04999999999995</v>
      </c>
      <c r="E60" s="4">
        <f t="shared" si="2"/>
        <v>442.20000000000005</v>
      </c>
      <c r="F60" s="4">
        <f t="shared" si="3"/>
        <v>543</v>
      </c>
    </row>
    <row r="61" spans="1:6" x14ac:dyDescent="0.25">
      <c r="A61" s="1" t="s">
        <v>64</v>
      </c>
      <c r="B61" s="2">
        <v>1675</v>
      </c>
      <c r="C61" s="3">
        <f t="shared" si="0"/>
        <v>703.5</v>
      </c>
      <c r="D61" s="3">
        <f t="shared" si="1"/>
        <v>686.75</v>
      </c>
      <c r="E61" s="4">
        <f t="shared" si="2"/>
        <v>737</v>
      </c>
      <c r="F61" s="4">
        <f t="shared" si="3"/>
        <v>905</v>
      </c>
    </row>
    <row r="62" spans="1:6" x14ac:dyDescent="0.25">
      <c r="A62" s="1" t="s">
        <v>65</v>
      </c>
      <c r="B62" s="2">
        <v>1120</v>
      </c>
      <c r="C62" s="3">
        <f t="shared" si="0"/>
        <v>470.4</v>
      </c>
      <c r="D62" s="3">
        <f t="shared" si="1"/>
        <v>459.20000000000005</v>
      </c>
      <c r="E62" s="4">
        <f t="shared" si="2"/>
        <v>492.79999999999995</v>
      </c>
      <c r="F62" s="4">
        <f t="shared" si="3"/>
        <v>605</v>
      </c>
    </row>
    <row r="63" spans="1:6" x14ac:dyDescent="0.25">
      <c r="A63" s="1" t="s">
        <v>66</v>
      </c>
      <c r="B63" s="2">
        <v>1475</v>
      </c>
      <c r="C63" s="3">
        <f t="shared" si="0"/>
        <v>619.5</v>
      </c>
      <c r="D63" s="3">
        <f t="shared" si="1"/>
        <v>604.75</v>
      </c>
      <c r="E63" s="4">
        <f t="shared" si="2"/>
        <v>649</v>
      </c>
      <c r="F63" s="4">
        <f t="shared" si="3"/>
        <v>797</v>
      </c>
    </row>
    <row r="64" spans="1:6" x14ac:dyDescent="0.25">
      <c r="A64" s="1" t="s">
        <v>67</v>
      </c>
      <c r="B64" s="2">
        <v>170</v>
      </c>
      <c r="C64" s="3">
        <f t="shared" si="0"/>
        <v>71.400000000000006</v>
      </c>
      <c r="D64" s="3">
        <f t="shared" si="1"/>
        <v>69.7</v>
      </c>
      <c r="E64" s="4">
        <f t="shared" si="2"/>
        <v>74.8</v>
      </c>
      <c r="F64" s="4">
        <f t="shared" si="3"/>
        <v>92</v>
      </c>
    </row>
    <row r="65" spans="1:6" x14ac:dyDescent="0.25">
      <c r="A65" s="1" t="s">
        <v>68</v>
      </c>
      <c r="B65" s="2">
        <v>205</v>
      </c>
      <c r="C65" s="3">
        <f t="shared" si="0"/>
        <v>86.1</v>
      </c>
      <c r="D65" s="3">
        <f t="shared" si="1"/>
        <v>84.05</v>
      </c>
      <c r="E65" s="4">
        <f t="shared" si="2"/>
        <v>90.2</v>
      </c>
      <c r="F65" s="4">
        <f t="shared" si="3"/>
        <v>111</v>
      </c>
    </row>
    <row r="66" spans="1:6" x14ac:dyDescent="0.25">
      <c r="A66" s="1" t="s">
        <v>69</v>
      </c>
      <c r="B66" s="2">
        <v>230</v>
      </c>
      <c r="C66" s="3">
        <f t="shared" si="0"/>
        <v>96.6</v>
      </c>
      <c r="D66" s="3">
        <f t="shared" si="1"/>
        <v>94.300000000000011</v>
      </c>
      <c r="E66" s="4">
        <f t="shared" si="2"/>
        <v>101.19999999999999</v>
      </c>
      <c r="F66" s="4">
        <f t="shared" si="3"/>
        <v>125</v>
      </c>
    </row>
    <row r="67" spans="1:6" x14ac:dyDescent="0.25">
      <c r="A67" s="1" t="s">
        <v>70</v>
      </c>
      <c r="B67" s="2">
        <v>285</v>
      </c>
      <c r="C67" s="3">
        <f t="shared" si="0"/>
        <v>119.69999999999999</v>
      </c>
      <c r="D67" s="3">
        <f t="shared" si="1"/>
        <v>116.85</v>
      </c>
      <c r="E67" s="4">
        <f t="shared" si="2"/>
        <v>125.4</v>
      </c>
      <c r="F67" s="4">
        <f t="shared" si="3"/>
        <v>154</v>
      </c>
    </row>
    <row r="68" spans="1:6" x14ac:dyDescent="0.25">
      <c r="A68" s="1" t="s">
        <v>71</v>
      </c>
      <c r="B68" s="2">
        <v>315</v>
      </c>
      <c r="C68" s="3">
        <f t="shared" si="0"/>
        <v>132.30000000000001</v>
      </c>
      <c r="D68" s="3">
        <f t="shared" si="1"/>
        <v>129.15</v>
      </c>
      <c r="E68" s="4">
        <f t="shared" si="2"/>
        <v>138.6</v>
      </c>
      <c r="F68" s="4">
        <f t="shared" si="3"/>
        <v>171</v>
      </c>
    </row>
    <row r="69" spans="1:6" x14ac:dyDescent="0.25">
      <c r="A69" s="1" t="s">
        <v>72</v>
      </c>
      <c r="B69" s="2">
        <v>490</v>
      </c>
      <c r="C69" s="3">
        <f t="shared" si="0"/>
        <v>205.8</v>
      </c>
      <c r="D69" s="3">
        <f t="shared" si="1"/>
        <v>200.89999999999998</v>
      </c>
      <c r="E69" s="4">
        <f t="shared" si="2"/>
        <v>215.60000000000002</v>
      </c>
      <c r="F69" s="4">
        <f t="shared" si="3"/>
        <v>265</v>
      </c>
    </row>
    <row r="70" spans="1:6" x14ac:dyDescent="0.25">
      <c r="A70" s="5" t="s">
        <v>73</v>
      </c>
      <c r="B70" s="2">
        <v>2335</v>
      </c>
      <c r="C70" s="3">
        <f t="shared" si="0"/>
        <v>980.7</v>
      </c>
      <c r="D70" s="3">
        <f t="shared" si="1"/>
        <v>957.34999999999991</v>
      </c>
      <c r="E70" s="4">
        <f t="shared" si="2"/>
        <v>1027.4000000000001</v>
      </c>
      <c r="F70" s="4">
        <f t="shared" si="3"/>
        <v>1261</v>
      </c>
    </row>
    <row r="71" spans="1:6" x14ac:dyDescent="0.25">
      <c r="A71" s="5" t="s">
        <v>74</v>
      </c>
      <c r="B71" s="2">
        <v>2400</v>
      </c>
      <c r="C71" s="3">
        <f t="shared" si="0"/>
        <v>1008</v>
      </c>
      <c r="D71" s="3">
        <f t="shared" si="1"/>
        <v>984</v>
      </c>
      <c r="E71" s="4">
        <f t="shared" si="2"/>
        <v>1056</v>
      </c>
      <c r="F71" s="4">
        <f t="shared" si="3"/>
        <v>1296</v>
      </c>
    </row>
    <row r="72" spans="1:6" x14ac:dyDescent="0.25">
      <c r="A72" s="5" t="s">
        <v>75</v>
      </c>
      <c r="B72" s="2">
        <v>2670</v>
      </c>
      <c r="C72" s="3">
        <f t="shared" si="0"/>
        <v>1121.4000000000001</v>
      </c>
      <c r="D72" s="3">
        <f t="shared" si="1"/>
        <v>1094.7</v>
      </c>
      <c r="E72" s="4">
        <f t="shared" si="2"/>
        <v>1174.8</v>
      </c>
      <c r="F72" s="4">
        <f t="shared" si="3"/>
        <v>1442</v>
      </c>
    </row>
    <row r="73" spans="1:6" x14ac:dyDescent="0.25">
      <c r="A73" s="5" t="s">
        <v>76</v>
      </c>
      <c r="B73" s="2">
        <v>540</v>
      </c>
      <c r="C73" s="3">
        <f>B73-(B73*58/100)</f>
        <v>226.8</v>
      </c>
      <c r="D73" s="3">
        <f>B73-(B73*59/100)</f>
        <v>221.39999999999998</v>
      </c>
      <c r="E73" s="4">
        <f>B73-(B73*56/100)</f>
        <v>237.60000000000002</v>
      </c>
      <c r="F73" s="4">
        <f>ROUNDUP(B73-(B73*46/100),0)</f>
        <v>292</v>
      </c>
    </row>
    <row r="74" spans="1:6" x14ac:dyDescent="0.25">
      <c r="A74" s="5" t="s">
        <v>77</v>
      </c>
      <c r="B74" s="2">
        <v>610</v>
      </c>
      <c r="C74" s="3">
        <f t="shared" si="0"/>
        <v>256.2</v>
      </c>
      <c r="D74" s="3">
        <f t="shared" si="1"/>
        <v>250.10000000000002</v>
      </c>
      <c r="E74" s="4">
        <f t="shared" si="2"/>
        <v>268.39999999999998</v>
      </c>
      <c r="F74" s="4">
        <f t="shared" si="3"/>
        <v>330</v>
      </c>
    </row>
    <row r="75" spans="1:6" x14ac:dyDescent="0.25">
      <c r="A75" s="5" t="s">
        <v>78</v>
      </c>
      <c r="B75" s="2">
        <v>610</v>
      </c>
      <c r="C75" s="3">
        <f t="shared" si="0"/>
        <v>256.2</v>
      </c>
      <c r="D75" s="3">
        <f t="shared" si="1"/>
        <v>250.10000000000002</v>
      </c>
      <c r="E75" s="4">
        <f t="shared" si="2"/>
        <v>268.39999999999998</v>
      </c>
      <c r="F75" s="4">
        <f t="shared" si="3"/>
        <v>330</v>
      </c>
    </row>
    <row r="76" spans="1:6" x14ac:dyDescent="0.25">
      <c r="A76" s="5" t="s">
        <v>79</v>
      </c>
      <c r="B76" s="2">
        <v>135</v>
      </c>
      <c r="C76" s="3">
        <f t="shared" ref="C76:C160" si="4">B76-(B76*58/100)</f>
        <v>56.7</v>
      </c>
      <c r="D76" s="3">
        <f t="shared" ref="D76:D160" si="5">B76-(B76*59/100)</f>
        <v>55.349999999999994</v>
      </c>
      <c r="E76" s="4">
        <f t="shared" ref="E76:E160" si="6">B76-(B76*56/100)</f>
        <v>59.400000000000006</v>
      </c>
      <c r="F76" s="4">
        <f t="shared" ref="F76:F160" si="7">ROUNDUP(B76-(B76*46/100),0)</f>
        <v>73</v>
      </c>
    </row>
    <row r="77" spans="1:6" x14ac:dyDescent="0.25">
      <c r="A77" s="5" t="s">
        <v>80</v>
      </c>
      <c r="B77" s="2">
        <v>610</v>
      </c>
      <c r="C77" s="3">
        <f t="shared" si="4"/>
        <v>256.2</v>
      </c>
      <c r="D77" s="3">
        <f t="shared" si="5"/>
        <v>250.10000000000002</v>
      </c>
      <c r="E77" s="4">
        <f t="shared" si="6"/>
        <v>268.39999999999998</v>
      </c>
      <c r="F77" s="4">
        <f t="shared" si="7"/>
        <v>330</v>
      </c>
    </row>
    <row r="78" spans="1:6" x14ac:dyDescent="0.25">
      <c r="A78" s="1" t="s">
        <v>81</v>
      </c>
      <c r="B78" s="2">
        <v>4420</v>
      </c>
      <c r="C78" s="3">
        <f>B78-(B78*58/100)</f>
        <v>1856.4</v>
      </c>
      <c r="D78" s="3">
        <f>B78-(B78*59/100)</f>
        <v>1812.1999999999998</v>
      </c>
      <c r="E78" s="4">
        <f>B78-(B78*56/100)</f>
        <v>1944.8000000000002</v>
      </c>
      <c r="F78" s="4">
        <f>ROUNDUP(B78-(B78*46/100),0)</f>
        <v>2387</v>
      </c>
    </row>
    <row r="79" spans="1:6" x14ac:dyDescent="0.25">
      <c r="A79" s="1" t="s">
        <v>82</v>
      </c>
      <c r="B79" s="2">
        <v>590</v>
      </c>
      <c r="C79" s="3">
        <f t="shared" si="4"/>
        <v>247.8</v>
      </c>
      <c r="D79" s="3">
        <f t="shared" si="5"/>
        <v>241.89999999999998</v>
      </c>
      <c r="E79" s="4">
        <f t="shared" si="6"/>
        <v>259.60000000000002</v>
      </c>
      <c r="F79" s="4">
        <f t="shared" si="7"/>
        <v>319</v>
      </c>
    </row>
    <row r="80" spans="1:6" x14ac:dyDescent="0.25">
      <c r="A80" s="1" t="s">
        <v>83</v>
      </c>
      <c r="B80" s="2">
        <v>590</v>
      </c>
      <c r="C80" s="3">
        <f t="shared" si="4"/>
        <v>247.8</v>
      </c>
      <c r="D80" s="3">
        <f t="shared" si="5"/>
        <v>241.89999999999998</v>
      </c>
      <c r="E80" s="4">
        <f t="shared" si="6"/>
        <v>259.60000000000002</v>
      </c>
      <c r="F80" s="4">
        <f t="shared" si="7"/>
        <v>319</v>
      </c>
    </row>
    <row r="81" spans="1:6" x14ac:dyDescent="0.25">
      <c r="A81" s="1" t="s">
        <v>84</v>
      </c>
      <c r="B81" s="2">
        <v>640</v>
      </c>
      <c r="C81" s="3">
        <f t="shared" si="4"/>
        <v>268.8</v>
      </c>
      <c r="D81" s="3">
        <f t="shared" si="5"/>
        <v>262.39999999999998</v>
      </c>
      <c r="E81" s="4">
        <f t="shared" si="6"/>
        <v>281.60000000000002</v>
      </c>
      <c r="F81" s="4">
        <f t="shared" si="7"/>
        <v>346</v>
      </c>
    </row>
    <row r="82" spans="1:6" x14ac:dyDescent="0.25">
      <c r="A82" s="1" t="s">
        <v>85</v>
      </c>
      <c r="B82" s="2">
        <v>815</v>
      </c>
      <c r="C82" s="3">
        <f t="shared" si="4"/>
        <v>342.3</v>
      </c>
      <c r="D82" s="3">
        <f t="shared" si="5"/>
        <v>334.15</v>
      </c>
      <c r="E82" s="4">
        <f t="shared" si="6"/>
        <v>358.6</v>
      </c>
      <c r="F82" s="4">
        <f t="shared" si="7"/>
        <v>441</v>
      </c>
    </row>
    <row r="83" spans="1:6" x14ac:dyDescent="0.25">
      <c r="A83" s="1" t="s">
        <v>86</v>
      </c>
      <c r="B83" s="2">
        <v>815</v>
      </c>
      <c r="C83" s="3">
        <f t="shared" si="4"/>
        <v>342.3</v>
      </c>
      <c r="D83" s="3">
        <f t="shared" si="5"/>
        <v>334.15</v>
      </c>
      <c r="E83" s="4">
        <f t="shared" si="6"/>
        <v>358.6</v>
      </c>
      <c r="F83" s="4">
        <f t="shared" si="7"/>
        <v>441</v>
      </c>
    </row>
    <row r="84" spans="1:6" x14ac:dyDescent="0.25">
      <c r="A84" s="1" t="s">
        <v>87</v>
      </c>
      <c r="B84" s="2">
        <v>940</v>
      </c>
      <c r="C84" s="3">
        <f t="shared" si="4"/>
        <v>394.79999999999995</v>
      </c>
      <c r="D84" s="3">
        <f t="shared" si="5"/>
        <v>385.4</v>
      </c>
      <c r="E84" s="4">
        <f t="shared" si="6"/>
        <v>413.6</v>
      </c>
      <c r="F84" s="4">
        <f t="shared" si="7"/>
        <v>508</v>
      </c>
    </row>
    <row r="85" spans="1:6" x14ac:dyDescent="0.25">
      <c r="A85" s="1" t="s">
        <v>88</v>
      </c>
      <c r="B85" s="2">
        <v>940</v>
      </c>
      <c r="C85" s="3">
        <f t="shared" si="4"/>
        <v>394.79999999999995</v>
      </c>
      <c r="D85" s="3">
        <f t="shared" si="5"/>
        <v>385.4</v>
      </c>
      <c r="E85" s="4">
        <f t="shared" si="6"/>
        <v>413.6</v>
      </c>
      <c r="F85" s="4">
        <f t="shared" si="7"/>
        <v>508</v>
      </c>
    </row>
    <row r="86" spans="1:6" x14ac:dyDescent="0.25">
      <c r="A86" s="1" t="s">
        <v>89</v>
      </c>
      <c r="B86" s="2">
        <v>1215</v>
      </c>
      <c r="C86" s="3">
        <f t="shared" si="4"/>
        <v>510.29999999999995</v>
      </c>
      <c r="D86" s="3">
        <f t="shared" si="5"/>
        <v>498.15</v>
      </c>
      <c r="E86" s="4">
        <f t="shared" si="6"/>
        <v>534.6</v>
      </c>
      <c r="F86" s="4">
        <f t="shared" si="7"/>
        <v>657</v>
      </c>
    </row>
    <row r="87" spans="1:6" x14ac:dyDescent="0.25">
      <c r="A87" s="1" t="s">
        <v>90</v>
      </c>
      <c r="B87" s="2">
        <v>1215</v>
      </c>
      <c r="C87" s="3">
        <f t="shared" si="4"/>
        <v>510.29999999999995</v>
      </c>
      <c r="D87" s="3">
        <f t="shared" si="5"/>
        <v>498.15</v>
      </c>
      <c r="E87" s="4">
        <f t="shared" si="6"/>
        <v>534.6</v>
      </c>
      <c r="F87" s="4">
        <f t="shared" si="7"/>
        <v>657</v>
      </c>
    </row>
    <row r="88" spans="1:6" x14ac:dyDescent="0.25">
      <c r="A88" s="1" t="s">
        <v>91</v>
      </c>
      <c r="B88" s="2">
        <v>1945</v>
      </c>
      <c r="C88" s="3">
        <f t="shared" si="4"/>
        <v>816.90000000000009</v>
      </c>
      <c r="D88" s="3">
        <f t="shared" si="5"/>
        <v>797.45</v>
      </c>
      <c r="E88" s="4">
        <f t="shared" si="6"/>
        <v>855.8</v>
      </c>
      <c r="F88" s="4">
        <f t="shared" si="7"/>
        <v>1051</v>
      </c>
    </row>
    <row r="89" spans="1:6" x14ac:dyDescent="0.25">
      <c r="A89" s="1" t="s">
        <v>92</v>
      </c>
      <c r="B89" s="2">
        <v>455</v>
      </c>
      <c r="C89" s="3">
        <f t="shared" si="4"/>
        <v>191.10000000000002</v>
      </c>
      <c r="D89" s="3">
        <f t="shared" si="5"/>
        <v>186.55</v>
      </c>
      <c r="E89" s="4">
        <f t="shared" si="6"/>
        <v>200.2</v>
      </c>
      <c r="F89" s="4">
        <f t="shared" si="7"/>
        <v>246</v>
      </c>
    </row>
    <row r="90" spans="1:6" x14ac:dyDescent="0.25">
      <c r="A90" s="1" t="s">
        <v>93</v>
      </c>
      <c r="B90" s="2">
        <v>755</v>
      </c>
      <c r="C90" s="3">
        <f t="shared" si="4"/>
        <v>317.10000000000002</v>
      </c>
      <c r="D90" s="3">
        <f t="shared" si="5"/>
        <v>309.55</v>
      </c>
      <c r="E90" s="4">
        <f t="shared" si="6"/>
        <v>332.2</v>
      </c>
      <c r="F90" s="4">
        <f t="shared" si="7"/>
        <v>408</v>
      </c>
    </row>
    <row r="91" spans="1:6" x14ac:dyDescent="0.25">
      <c r="A91" s="1" t="s">
        <v>94</v>
      </c>
      <c r="B91" s="2">
        <v>1180</v>
      </c>
      <c r="C91" s="3">
        <f t="shared" si="4"/>
        <v>495.6</v>
      </c>
      <c r="D91" s="3">
        <f t="shared" si="5"/>
        <v>483.79999999999995</v>
      </c>
      <c r="E91" s="4">
        <f t="shared" si="6"/>
        <v>519.20000000000005</v>
      </c>
      <c r="F91" s="4">
        <f t="shared" si="7"/>
        <v>638</v>
      </c>
    </row>
    <row r="92" spans="1:6" x14ac:dyDescent="0.25">
      <c r="A92" s="1" t="s">
        <v>95</v>
      </c>
      <c r="B92" s="2">
        <v>755</v>
      </c>
      <c r="C92" s="3">
        <f>B92-(B92*58/100)</f>
        <v>317.10000000000002</v>
      </c>
      <c r="D92" s="3">
        <f>B92-(B92*59/100)</f>
        <v>309.55</v>
      </c>
      <c r="E92" s="4">
        <f>B92-(B92*56/100)</f>
        <v>332.2</v>
      </c>
      <c r="F92" s="4">
        <f>ROUNDUP(B92-(B92*46/100),0)</f>
        <v>408</v>
      </c>
    </row>
    <row r="93" spans="1:6" x14ac:dyDescent="0.25">
      <c r="A93" s="1" t="s">
        <v>96</v>
      </c>
      <c r="B93" s="2">
        <v>1120</v>
      </c>
      <c r="C93" s="3">
        <f>B93-(B93*58/100)</f>
        <v>470.4</v>
      </c>
      <c r="D93" s="3">
        <f>B93-(B93*59/100)</f>
        <v>459.20000000000005</v>
      </c>
      <c r="E93" s="4">
        <f>B93-(B93*56/100)</f>
        <v>492.79999999999995</v>
      </c>
      <c r="F93" s="4">
        <f>ROUNDUP(B93-(B93*46/100),0)</f>
        <v>605</v>
      </c>
    </row>
    <row r="94" spans="1:6" x14ac:dyDescent="0.25">
      <c r="A94" s="1" t="s">
        <v>97</v>
      </c>
      <c r="B94" s="2">
        <v>535</v>
      </c>
      <c r="C94" s="3">
        <f t="shared" si="4"/>
        <v>224.7</v>
      </c>
      <c r="D94" s="3">
        <f t="shared" si="5"/>
        <v>219.35000000000002</v>
      </c>
      <c r="E94" s="4">
        <f t="shared" si="6"/>
        <v>235.39999999999998</v>
      </c>
      <c r="F94" s="4">
        <f t="shared" si="7"/>
        <v>289</v>
      </c>
    </row>
    <row r="95" spans="1:6" x14ac:dyDescent="0.25">
      <c r="A95" s="1" t="s">
        <v>98</v>
      </c>
      <c r="B95" s="2">
        <v>535</v>
      </c>
      <c r="C95" s="3">
        <f t="shared" si="4"/>
        <v>224.7</v>
      </c>
      <c r="D95" s="3">
        <f t="shared" si="5"/>
        <v>219.35000000000002</v>
      </c>
      <c r="E95" s="4">
        <f t="shared" si="6"/>
        <v>235.39999999999998</v>
      </c>
      <c r="F95" s="4">
        <f t="shared" si="7"/>
        <v>289</v>
      </c>
    </row>
    <row r="96" spans="1:6" x14ac:dyDescent="0.25">
      <c r="A96" s="1" t="s">
        <v>99</v>
      </c>
      <c r="B96" s="2">
        <v>640</v>
      </c>
      <c r="C96" s="3">
        <f t="shared" si="4"/>
        <v>268.8</v>
      </c>
      <c r="D96" s="3">
        <f t="shared" si="5"/>
        <v>262.39999999999998</v>
      </c>
      <c r="E96" s="4">
        <f t="shared" si="6"/>
        <v>281.60000000000002</v>
      </c>
      <c r="F96" s="4">
        <f t="shared" si="7"/>
        <v>346</v>
      </c>
    </row>
    <row r="97" spans="1:6" x14ac:dyDescent="0.25">
      <c r="A97" s="1" t="s">
        <v>100</v>
      </c>
      <c r="B97" s="2">
        <v>640</v>
      </c>
      <c r="C97" s="3">
        <f t="shared" si="4"/>
        <v>268.8</v>
      </c>
      <c r="D97" s="3">
        <f t="shared" si="5"/>
        <v>262.39999999999998</v>
      </c>
      <c r="E97" s="4">
        <f t="shared" si="6"/>
        <v>281.60000000000002</v>
      </c>
      <c r="F97" s="4">
        <f t="shared" si="7"/>
        <v>346</v>
      </c>
    </row>
    <row r="98" spans="1:6" x14ac:dyDescent="0.25">
      <c r="A98" s="1" t="s">
        <v>101</v>
      </c>
      <c r="B98" s="2">
        <v>970</v>
      </c>
      <c r="C98" s="3">
        <f t="shared" si="4"/>
        <v>407.4</v>
      </c>
      <c r="D98" s="3">
        <f t="shared" si="5"/>
        <v>397.70000000000005</v>
      </c>
      <c r="E98" s="4">
        <f t="shared" si="6"/>
        <v>426.79999999999995</v>
      </c>
      <c r="F98" s="4">
        <f t="shared" si="7"/>
        <v>524</v>
      </c>
    </row>
    <row r="99" spans="1:6" x14ac:dyDescent="0.25">
      <c r="A99" s="1" t="s">
        <v>102</v>
      </c>
      <c r="B99" s="2">
        <v>970</v>
      </c>
      <c r="C99" s="3">
        <f t="shared" si="4"/>
        <v>407.4</v>
      </c>
      <c r="D99" s="3">
        <f t="shared" si="5"/>
        <v>397.70000000000005</v>
      </c>
      <c r="E99" s="4">
        <f t="shared" si="6"/>
        <v>426.79999999999995</v>
      </c>
      <c r="F99" s="4">
        <f t="shared" si="7"/>
        <v>524</v>
      </c>
    </row>
    <row r="100" spans="1:6" x14ac:dyDescent="0.25">
      <c r="A100" s="1" t="s">
        <v>103</v>
      </c>
      <c r="B100" s="2">
        <v>1380</v>
      </c>
      <c r="C100" s="3">
        <f t="shared" si="4"/>
        <v>579.6</v>
      </c>
      <c r="D100" s="3">
        <f t="shared" si="5"/>
        <v>565.79999999999995</v>
      </c>
      <c r="E100" s="4">
        <f t="shared" si="6"/>
        <v>607.20000000000005</v>
      </c>
      <c r="F100" s="4">
        <f t="shared" si="7"/>
        <v>746</v>
      </c>
    </row>
    <row r="101" spans="1:6" x14ac:dyDescent="0.25">
      <c r="A101" s="1" t="s">
        <v>104</v>
      </c>
      <c r="B101" s="2">
        <v>1380</v>
      </c>
      <c r="C101" s="3">
        <f t="shared" si="4"/>
        <v>579.6</v>
      </c>
      <c r="D101" s="3">
        <f t="shared" si="5"/>
        <v>565.79999999999995</v>
      </c>
      <c r="E101" s="4">
        <f t="shared" si="6"/>
        <v>607.20000000000005</v>
      </c>
      <c r="F101" s="4">
        <f t="shared" si="7"/>
        <v>746</v>
      </c>
    </row>
    <row r="102" spans="1:6" x14ac:dyDescent="0.25">
      <c r="A102" s="1" t="s">
        <v>105</v>
      </c>
      <c r="B102" s="2">
        <v>610</v>
      </c>
      <c r="C102" s="3">
        <f t="shared" si="4"/>
        <v>256.2</v>
      </c>
      <c r="D102" s="3">
        <f t="shared" si="5"/>
        <v>250.10000000000002</v>
      </c>
      <c r="E102" s="4">
        <f t="shared" si="6"/>
        <v>268.39999999999998</v>
      </c>
      <c r="F102" s="4">
        <f t="shared" si="7"/>
        <v>330</v>
      </c>
    </row>
    <row r="103" spans="1:6" x14ac:dyDescent="0.25">
      <c r="A103" s="1" t="s">
        <v>106</v>
      </c>
      <c r="B103" s="2">
        <v>820</v>
      </c>
      <c r="C103" s="3">
        <f t="shared" si="4"/>
        <v>344.4</v>
      </c>
      <c r="D103" s="3">
        <f t="shared" si="5"/>
        <v>336.2</v>
      </c>
      <c r="E103" s="4">
        <f t="shared" si="6"/>
        <v>360.8</v>
      </c>
      <c r="F103" s="4">
        <f t="shared" si="7"/>
        <v>443</v>
      </c>
    </row>
    <row r="104" spans="1:6" x14ac:dyDescent="0.25">
      <c r="A104" s="1" t="s">
        <v>107</v>
      </c>
      <c r="B104" s="2">
        <v>1120</v>
      </c>
      <c r="C104" s="3">
        <f t="shared" si="4"/>
        <v>470.4</v>
      </c>
      <c r="D104" s="3">
        <f t="shared" si="5"/>
        <v>459.20000000000005</v>
      </c>
      <c r="E104" s="4">
        <f t="shared" si="6"/>
        <v>492.79999999999995</v>
      </c>
      <c r="F104" s="4">
        <f t="shared" si="7"/>
        <v>605</v>
      </c>
    </row>
    <row r="105" spans="1:6" x14ac:dyDescent="0.25">
      <c r="A105" s="1" t="s">
        <v>108</v>
      </c>
      <c r="B105" s="2">
        <v>1975</v>
      </c>
      <c r="C105" s="3">
        <f t="shared" si="4"/>
        <v>829.5</v>
      </c>
      <c r="D105" s="3">
        <f t="shared" si="5"/>
        <v>809.75</v>
      </c>
      <c r="E105" s="4">
        <f t="shared" si="6"/>
        <v>869</v>
      </c>
      <c r="F105" s="4">
        <f t="shared" si="7"/>
        <v>1067</v>
      </c>
    </row>
    <row r="106" spans="1:6" x14ac:dyDescent="0.25">
      <c r="A106" s="1" t="s">
        <v>109</v>
      </c>
      <c r="B106" s="2">
        <v>560</v>
      </c>
      <c r="C106" s="3">
        <f t="shared" si="4"/>
        <v>235.2</v>
      </c>
      <c r="D106" s="3">
        <f t="shared" si="5"/>
        <v>229.60000000000002</v>
      </c>
      <c r="E106" s="4">
        <f t="shared" si="6"/>
        <v>246.39999999999998</v>
      </c>
      <c r="F106" s="4">
        <f t="shared" si="7"/>
        <v>303</v>
      </c>
    </row>
    <row r="107" spans="1:6" x14ac:dyDescent="0.25">
      <c r="A107" s="1" t="s">
        <v>110</v>
      </c>
      <c r="B107" s="2">
        <v>885</v>
      </c>
      <c r="C107" s="3">
        <f t="shared" si="4"/>
        <v>371.70000000000005</v>
      </c>
      <c r="D107" s="3">
        <f t="shared" si="5"/>
        <v>362.85</v>
      </c>
      <c r="E107" s="4">
        <f t="shared" si="6"/>
        <v>389.4</v>
      </c>
      <c r="F107" s="4">
        <f t="shared" si="7"/>
        <v>478</v>
      </c>
    </row>
    <row r="108" spans="1:6" x14ac:dyDescent="0.25">
      <c r="A108" s="1" t="s">
        <v>111</v>
      </c>
      <c r="B108" s="2">
        <v>1175</v>
      </c>
      <c r="C108" s="3">
        <f t="shared" si="4"/>
        <v>493.5</v>
      </c>
      <c r="D108" s="3">
        <f t="shared" si="5"/>
        <v>481.75</v>
      </c>
      <c r="E108" s="4">
        <f t="shared" si="6"/>
        <v>517</v>
      </c>
      <c r="F108" s="4">
        <f t="shared" si="7"/>
        <v>635</v>
      </c>
    </row>
    <row r="109" spans="1:6" x14ac:dyDescent="0.25">
      <c r="A109" s="1" t="s">
        <v>112</v>
      </c>
      <c r="B109" s="2">
        <v>395</v>
      </c>
      <c r="C109" s="3">
        <f t="shared" si="4"/>
        <v>165.9</v>
      </c>
      <c r="D109" s="3">
        <f t="shared" si="5"/>
        <v>161.94999999999999</v>
      </c>
      <c r="E109" s="4">
        <f t="shared" si="6"/>
        <v>173.8</v>
      </c>
      <c r="F109" s="4">
        <f t="shared" si="7"/>
        <v>214</v>
      </c>
    </row>
    <row r="110" spans="1:6" x14ac:dyDescent="0.25">
      <c r="A110" s="1" t="s">
        <v>113</v>
      </c>
      <c r="B110" s="2">
        <v>605</v>
      </c>
      <c r="C110" s="3">
        <f t="shared" si="4"/>
        <v>254.10000000000002</v>
      </c>
      <c r="D110" s="3">
        <f t="shared" si="5"/>
        <v>248.05</v>
      </c>
      <c r="E110" s="4">
        <f t="shared" si="6"/>
        <v>266.2</v>
      </c>
      <c r="F110" s="4">
        <f t="shared" si="7"/>
        <v>327</v>
      </c>
    </row>
    <row r="111" spans="1:6" x14ac:dyDescent="0.25">
      <c r="A111" s="1" t="s">
        <v>114</v>
      </c>
      <c r="B111" s="2">
        <v>885</v>
      </c>
      <c r="C111" s="3">
        <f t="shared" si="4"/>
        <v>371.70000000000005</v>
      </c>
      <c r="D111" s="3">
        <f t="shared" si="5"/>
        <v>362.85</v>
      </c>
      <c r="E111" s="4">
        <f t="shared" si="6"/>
        <v>389.4</v>
      </c>
      <c r="F111" s="4">
        <f t="shared" si="7"/>
        <v>478</v>
      </c>
    </row>
    <row r="112" spans="1:6" x14ac:dyDescent="0.25">
      <c r="A112" s="1" t="s">
        <v>115</v>
      </c>
      <c r="B112" s="2">
        <v>535</v>
      </c>
      <c r="C112" s="3">
        <f t="shared" si="4"/>
        <v>224.7</v>
      </c>
      <c r="D112" s="3">
        <f t="shared" si="5"/>
        <v>219.35000000000002</v>
      </c>
      <c r="E112" s="4">
        <f t="shared" si="6"/>
        <v>235.39999999999998</v>
      </c>
      <c r="F112" s="4">
        <f t="shared" si="7"/>
        <v>289</v>
      </c>
    </row>
    <row r="113" spans="1:6" x14ac:dyDescent="0.25">
      <c r="A113" s="1" t="s">
        <v>116</v>
      </c>
      <c r="B113" s="2">
        <v>535</v>
      </c>
      <c r="C113" s="3">
        <f t="shared" si="4"/>
        <v>224.7</v>
      </c>
      <c r="D113" s="3">
        <f t="shared" si="5"/>
        <v>219.35000000000002</v>
      </c>
      <c r="E113" s="4">
        <f t="shared" si="6"/>
        <v>235.39999999999998</v>
      </c>
      <c r="F113" s="4">
        <f t="shared" si="7"/>
        <v>289</v>
      </c>
    </row>
    <row r="114" spans="1:6" x14ac:dyDescent="0.25">
      <c r="A114" s="1" t="s">
        <v>117</v>
      </c>
      <c r="B114" s="2">
        <v>750</v>
      </c>
      <c r="C114" s="3">
        <f t="shared" si="4"/>
        <v>315</v>
      </c>
      <c r="D114" s="3">
        <f t="shared" si="5"/>
        <v>307.5</v>
      </c>
      <c r="E114" s="4">
        <f t="shared" si="6"/>
        <v>330</v>
      </c>
      <c r="F114" s="4">
        <f t="shared" si="7"/>
        <v>405</v>
      </c>
    </row>
    <row r="115" spans="1:6" x14ac:dyDescent="0.25">
      <c r="A115" s="1" t="s">
        <v>118</v>
      </c>
      <c r="B115" s="2">
        <v>750</v>
      </c>
      <c r="C115" s="3">
        <f t="shared" si="4"/>
        <v>315</v>
      </c>
      <c r="D115" s="3">
        <f t="shared" si="5"/>
        <v>307.5</v>
      </c>
      <c r="E115" s="4">
        <f t="shared" si="6"/>
        <v>330</v>
      </c>
      <c r="F115" s="4">
        <f t="shared" si="7"/>
        <v>405</v>
      </c>
    </row>
    <row r="116" spans="1:6" x14ac:dyDescent="0.25">
      <c r="A116" s="1" t="s">
        <v>119</v>
      </c>
      <c r="B116" s="2">
        <v>930</v>
      </c>
      <c r="C116" s="3">
        <f t="shared" si="4"/>
        <v>390.6</v>
      </c>
      <c r="D116" s="3">
        <f t="shared" si="5"/>
        <v>381.29999999999995</v>
      </c>
      <c r="E116" s="4">
        <f t="shared" si="6"/>
        <v>409.20000000000005</v>
      </c>
      <c r="F116" s="4">
        <f t="shared" si="7"/>
        <v>503</v>
      </c>
    </row>
    <row r="117" spans="1:6" x14ac:dyDescent="0.25">
      <c r="A117" s="1" t="s">
        <v>119</v>
      </c>
      <c r="B117" s="2">
        <v>930</v>
      </c>
      <c r="C117" s="3">
        <f t="shared" si="4"/>
        <v>390.6</v>
      </c>
      <c r="D117" s="3">
        <f t="shared" si="5"/>
        <v>381.29999999999995</v>
      </c>
      <c r="E117" s="4">
        <f t="shared" si="6"/>
        <v>409.20000000000005</v>
      </c>
      <c r="F117" s="4">
        <f t="shared" si="7"/>
        <v>503</v>
      </c>
    </row>
    <row r="118" spans="1:6" x14ac:dyDescent="0.25">
      <c r="A118" s="1" t="s">
        <v>120</v>
      </c>
      <c r="B118" s="2">
        <v>121</v>
      </c>
      <c r="C118" s="3">
        <f t="shared" si="4"/>
        <v>50.819999999999993</v>
      </c>
      <c r="D118" s="3">
        <f t="shared" si="5"/>
        <v>49.61</v>
      </c>
      <c r="E118" s="4">
        <f t="shared" si="6"/>
        <v>53.239999999999995</v>
      </c>
      <c r="F118" s="4">
        <f t="shared" si="7"/>
        <v>66</v>
      </c>
    </row>
    <row r="119" spans="1:6" x14ac:dyDescent="0.25">
      <c r="A119" s="1" t="s">
        <v>121</v>
      </c>
      <c r="B119" s="2">
        <v>195</v>
      </c>
      <c r="C119" s="3">
        <f t="shared" si="4"/>
        <v>81.900000000000006</v>
      </c>
      <c r="D119" s="3">
        <f t="shared" si="5"/>
        <v>79.95</v>
      </c>
      <c r="E119" s="4">
        <f t="shared" si="6"/>
        <v>85.8</v>
      </c>
      <c r="F119" s="4">
        <f t="shared" si="7"/>
        <v>106</v>
      </c>
    </row>
    <row r="120" spans="1:6" x14ac:dyDescent="0.25">
      <c r="A120" s="1" t="s">
        <v>122</v>
      </c>
      <c r="B120" s="2">
        <v>280</v>
      </c>
      <c r="C120" s="3">
        <f t="shared" si="4"/>
        <v>117.6</v>
      </c>
      <c r="D120" s="3">
        <f t="shared" si="5"/>
        <v>114.80000000000001</v>
      </c>
      <c r="E120" s="4">
        <f t="shared" si="6"/>
        <v>123.19999999999999</v>
      </c>
      <c r="F120" s="4">
        <f t="shared" si="7"/>
        <v>152</v>
      </c>
    </row>
    <row r="121" spans="1:6" x14ac:dyDescent="0.25">
      <c r="A121" s="1" t="s">
        <v>123</v>
      </c>
      <c r="B121" s="2">
        <v>207</v>
      </c>
      <c r="C121" s="3">
        <f t="shared" si="4"/>
        <v>86.94</v>
      </c>
      <c r="D121" s="3">
        <f t="shared" si="5"/>
        <v>84.87</v>
      </c>
      <c r="E121" s="4">
        <f t="shared" si="6"/>
        <v>91.08</v>
      </c>
      <c r="F121" s="4">
        <f t="shared" si="7"/>
        <v>112</v>
      </c>
    </row>
    <row r="122" spans="1:6" x14ac:dyDescent="0.25">
      <c r="A122" s="1" t="s">
        <v>124</v>
      </c>
      <c r="B122" s="2">
        <v>183</v>
      </c>
      <c r="C122" s="3">
        <f t="shared" si="4"/>
        <v>76.86</v>
      </c>
      <c r="D122" s="3">
        <f t="shared" si="5"/>
        <v>75.03</v>
      </c>
      <c r="E122" s="4">
        <f t="shared" si="6"/>
        <v>80.52</v>
      </c>
      <c r="F122" s="4">
        <f t="shared" si="7"/>
        <v>99</v>
      </c>
    </row>
    <row r="123" spans="1:6" x14ac:dyDescent="0.25">
      <c r="A123" s="1" t="s">
        <v>125</v>
      </c>
      <c r="B123" s="2">
        <v>247</v>
      </c>
      <c r="C123" s="3">
        <f t="shared" si="4"/>
        <v>103.74000000000001</v>
      </c>
      <c r="D123" s="3">
        <f t="shared" si="5"/>
        <v>101.27000000000001</v>
      </c>
      <c r="E123" s="4">
        <f t="shared" si="6"/>
        <v>108.68</v>
      </c>
      <c r="F123" s="4">
        <f t="shared" si="7"/>
        <v>134</v>
      </c>
    </row>
    <row r="124" spans="1:6" x14ac:dyDescent="0.25">
      <c r="A124" s="1" t="s">
        <v>126</v>
      </c>
      <c r="B124" s="2">
        <v>205</v>
      </c>
      <c r="C124" s="3">
        <f>B124-(B124*58/100)</f>
        <v>86.1</v>
      </c>
      <c r="D124" s="3">
        <f>B124-(B124*59/100)</f>
        <v>84.05</v>
      </c>
      <c r="E124" s="4">
        <f>B124-(B124*56/100)</f>
        <v>90.2</v>
      </c>
      <c r="F124" s="4">
        <f>ROUNDUP(B124-(B124*46/100),0)</f>
        <v>111</v>
      </c>
    </row>
    <row r="125" spans="1:6" x14ac:dyDescent="0.25">
      <c r="A125" s="1" t="s">
        <v>127</v>
      </c>
      <c r="B125" s="2">
        <v>256</v>
      </c>
      <c r="C125" s="3">
        <f t="shared" si="4"/>
        <v>107.52000000000001</v>
      </c>
      <c r="D125" s="3">
        <f t="shared" si="5"/>
        <v>104.96000000000001</v>
      </c>
      <c r="E125" s="4">
        <f t="shared" si="6"/>
        <v>112.63999999999999</v>
      </c>
      <c r="F125" s="4">
        <f t="shared" si="7"/>
        <v>139</v>
      </c>
    </row>
    <row r="126" spans="1:6" x14ac:dyDescent="0.25">
      <c r="A126" s="1" t="s">
        <v>128</v>
      </c>
      <c r="B126" s="2">
        <v>183</v>
      </c>
      <c r="C126" s="3">
        <f>B126-(B126*58/100)</f>
        <v>76.86</v>
      </c>
      <c r="D126" s="3">
        <f>B126-(B126*59/100)</f>
        <v>75.03</v>
      </c>
      <c r="E126" s="4">
        <f>B126-(B126*56/100)</f>
        <v>80.52</v>
      </c>
      <c r="F126" s="4">
        <f>ROUNDUP(B126-(B126*46/100),0)</f>
        <v>99</v>
      </c>
    </row>
    <row r="127" spans="1:6" x14ac:dyDescent="0.25">
      <c r="A127" s="1" t="s">
        <v>129</v>
      </c>
      <c r="B127" s="2">
        <v>430</v>
      </c>
      <c r="C127" s="3">
        <f t="shared" si="4"/>
        <v>180.6</v>
      </c>
      <c r="D127" s="3">
        <f t="shared" si="5"/>
        <v>176.3</v>
      </c>
      <c r="E127" s="4">
        <f t="shared" si="6"/>
        <v>189.2</v>
      </c>
      <c r="F127" s="4">
        <f t="shared" si="7"/>
        <v>233</v>
      </c>
    </row>
    <row r="128" spans="1:6" x14ac:dyDescent="0.25">
      <c r="A128" s="1" t="s">
        <v>130</v>
      </c>
      <c r="B128" s="2">
        <v>565</v>
      </c>
      <c r="C128" s="3">
        <f t="shared" si="4"/>
        <v>237.3</v>
      </c>
      <c r="D128" s="3">
        <f t="shared" si="5"/>
        <v>231.64999999999998</v>
      </c>
      <c r="E128" s="4">
        <f t="shared" si="6"/>
        <v>248.60000000000002</v>
      </c>
      <c r="F128" s="4">
        <f t="shared" si="7"/>
        <v>306</v>
      </c>
    </row>
    <row r="129" spans="1:6" x14ac:dyDescent="0.25">
      <c r="A129" s="1" t="s">
        <v>131</v>
      </c>
      <c r="B129" s="2">
        <v>244</v>
      </c>
      <c r="C129" s="3">
        <f>B129-(B129*58/100)</f>
        <v>102.47999999999999</v>
      </c>
      <c r="D129" s="3">
        <f>B129-(B129*59/100)</f>
        <v>100.03999999999999</v>
      </c>
      <c r="E129" s="4">
        <f>B129-(B129*56/100)</f>
        <v>107.36000000000001</v>
      </c>
      <c r="F129" s="4">
        <f>ROUNDUP(B129-(B129*46/100),0)</f>
        <v>132</v>
      </c>
    </row>
    <row r="130" spans="1:6" x14ac:dyDescent="0.25">
      <c r="A130" s="1" t="s">
        <v>132</v>
      </c>
      <c r="B130" s="2">
        <v>283</v>
      </c>
      <c r="C130" s="3">
        <f t="shared" si="4"/>
        <v>118.86000000000001</v>
      </c>
      <c r="D130" s="3">
        <f t="shared" si="5"/>
        <v>116.03</v>
      </c>
      <c r="E130" s="4">
        <f t="shared" si="6"/>
        <v>124.52000000000001</v>
      </c>
      <c r="F130" s="4">
        <f t="shared" si="7"/>
        <v>153</v>
      </c>
    </row>
    <row r="131" spans="1:6" x14ac:dyDescent="0.25">
      <c r="A131" s="1" t="s">
        <v>133</v>
      </c>
      <c r="B131" s="2">
        <v>218</v>
      </c>
      <c r="C131" s="3">
        <f t="shared" si="4"/>
        <v>91.56</v>
      </c>
      <c r="D131" s="3">
        <f t="shared" si="5"/>
        <v>89.38</v>
      </c>
      <c r="E131" s="4">
        <f t="shared" si="6"/>
        <v>95.92</v>
      </c>
      <c r="F131" s="4">
        <f t="shared" si="7"/>
        <v>118</v>
      </c>
    </row>
    <row r="132" spans="1:6" x14ac:dyDescent="0.25">
      <c r="A132" s="1" t="s">
        <v>134</v>
      </c>
      <c r="B132" s="2">
        <v>271</v>
      </c>
      <c r="C132" s="3">
        <f t="shared" si="4"/>
        <v>113.82</v>
      </c>
      <c r="D132" s="3">
        <f t="shared" si="5"/>
        <v>111.11000000000001</v>
      </c>
      <c r="E132" s="4">
        <f t="shared" si="6"/>
        <v>119.24000000000001</v>
      </c>
      <c r="F132" s="4">
        <f t="shared" si="7"/>
        <v>147</v>
      </c>
    </row>
    <row r="133" spans="1:6" x14ac:dyDescent="0.25">
      <c r="A133" s="1" t="s">
        <v>135</v>
      </c>
      <c r="B133" s="2">
        <v>574</v>
      </c>
      <c r="C133" s="3">
        <f t="shared" si="4"/>
        <v>241.07999999999998</v>
      </c>
      <c r="D133" s="3">
        <f t="shared" si="5"/>
        <v>235.33999999999997</v>
      </c>
      <c r="E133" s="4">
        <f t="shared" si="6"/>
        <v>252.56</v>
      </c>
      <c r="F133" s="4">
        <f t="shared" si="7"/>
        <v>310</v>
      </c>
    </row>
    <row r="134" spans="1:6" x14ac:dyDescent="0.25">
      <c r="A134" s="1" t="s">
        <v>136</v>
      </c>
      <c r="B134" s="2">
        <v>320</v>
      </c>
      <c r="C134" s="3">
        <f t="shared" si="4"/>
        <v>134.4</v>
      </c>
      <c r="D134" s="3">
        <f t="shared" si="5"/>
        <v>131.19999999999999</v>
      </c>
      <c r="E134" s="4">
        <f t="shared" si="6"/>
        <v>140.80000000000001</v>
      </c>
      <c r="F134" s="4">
        <f t="shared" si="7"/>
        <v>173</v>
      </c>
    </row>
    <row r="135" spans="1:6" x14ac:dyDescent="0.25">
      <c r="A135" s="1" t="s">
        <v>137</v>
      </c>
      <c r="B135" s="2">
        <v>610</v>
      </c>
      <c r="C135" s="3">
        <f t="shared" si="4"/>
        <v>256.2</v>
      </c>
      <c r="D135" s="3">
        <f t="shared" si="5"/>
        <v>250.10000000000002</v>
      </c>
      <c r="E135" s="4">
        <f t="shared" si="6"/>
        <v>268.39999999999998</v>
      </c>
      <c r="F135" s="4">
        <f t="shared" si="7"/>
        <v>330</v>
      </c>
    </row>
    <row r="136" spans="1:6" x14ac:dyDescent="0.25">
      <c r="A136" s="1" t="s">
        <v>138</v>
      </c>
      <c r="B136" s="2">
        <v>245</v>
      </c>
      <c r="C136" s="3">
        <f t="shared" si="4"/>
        <v>102.9</v>
      </c>
      <c r="D136" s="3">
        <f t="shared" si="5"/>
        <v>100.44999999999999</v>
      </c>
      <c r="E136" s="4">
        <f t="shared" si="6"/>
        <v>107.80000000000001</v>
      </c>
      <c r="F136" s="4">
        <f t="shared" si="7"/>
        <v>133</v>
      </c>
    </row>
    <row r="137" spans="1:6" x14ac:dyDescent="0.25">
      <c r="A137" s="1" t="s">
        <v>139</v>
      </c>
      <c r="B137" s="2">
        <v>465</v>
      </c>
      <c r="C137" s="3">
        <f t="shared" si="4"/>
        <v>195.3</v>
      </c>
      <c r="D137" s="3">
        <f t="shared" si="5"/>
        <v>190.64999999999998</v>
      </c>
      <c r="E137" s="4">
        <f t="shared" si="6"/>
        <v>204.60000000000002</v>
      </c>
      <c r="F137" s="4">
        <f t="shared" si="7"/>
        <v>252</v>
      </c>
    </row>
    <row r="138" spans="1:6" x14ac:dyDescent="0.25">
      <c r="A138" s="1" t="s">
        <v>140</v>
      </c>
      <c r="B138" s="2">
        <v>37</v>
      </c>
      <c r="C138" s="3">
        <f t="shared" si="4"/>
        <v>15.54</v>
      </c>
      <c r="D138" s="3">
        <f t="shared" si="5"/>
        <v>15.170000000000002</v>
      </c>
      <c r="E138" s="4">
        <f t="shared" si="6"/>
        <v>16.28</v>
      </c>
      <c r="F138" s="4">
        <f t="shared" si="7"/>
        <v>20</v>
      </c>
    </row>
    <row r="139" spans="1:6" x14ac:dyDescent="0.25">
      <c r="A139" s="1" t="s">
        <v>141</v>
      </c>
      <c r="B139" s="2">
        <v>160</v>
      </c>
      <c r="C139" s="3">
        <f t="shared" si="4"/>
        <v>67.2</v>
      </c>
      <c r="D139" s="3">
        <f t="shared" si="5"/>
        <v>65.599999999999994</v>
      </c>
      <c r="E139" s="4">
        <f t="shared" si="6"/>
        <v>70.400000000000006</v>
      </c>
      <c r="F139" s="4">
        <f t="shared" si="7"/>
        <v>87</v>
      </c>
    </row>
    <row r="140" spans="1:6" x14ac:dyDescent="0.25">
      <c r="A140" s="1" t="s">
        <v>142</v>
      </c>
      <c r="B140" s="2">
        <v>98</v>
      </c>
      <c r="C140" s="3">
        <f t="shared" si="4"/>
        <v>41.16</v>
      </c>
      <c r="D140" s="3">
        <f t="shared" si="5"/>
        <v>40.18</v>
      </c>
      <c r="E140" s="4">
        <f t="shared" si="6"/>
        <v>43.12</v>
      </c>
      <c r="F140" s="4">
        <f t="shared" si="7"/>
        <v>53</v>
      </c>
    </row>
    <row r="141" spans="1:6" x14ac:dyDescent="0.25">
      <c r="A141" s="1" t="s">
        <v>143</v>
      </c>
      <c r="B141" s="2">
        <v>177</v>
      </c>
      <c r="C141" s="3">
        <f>B141-(B141*58/100)</f>
        <v>74.34</v>
      </c>
      <c r="D141" s="3">
        <f>B141-(B141*59/100)</f>
        <v>72.569999999999993</v>
      </c>
      <c r="E141" s="4">
        <f>B141-(B141*56/100)</f>
        <v>77.88</v>
      </c>
      <c r="F141" s="4">
        <f>ROUNDUP(B141-(B141*46/100),0)</f>
        <v>96</v>
      </c>
    </row>
    <row r="142" spans="1:6" x14ac:dyDescent="0.25">
      <c r="A142" s="1" t="s">
        <v>144</v>
      </c>
      <c r="B142" s="2">
        <v>126</v>
      </c>
      <c r="C142" s="3">
        <f t="shared" si="4"/>
        <v>52.92</v>
      </c>
      <c r="D142" s="3">
        <f t="shared" si="5"/>
        <v>51.66</v>
      </c>
      <c r="E142" s="4">
        <f t="shared" si="6"/>
        <v>55.44</v>
      </c>
      <c r="F142" s="4">
        <f t="shared" si="7"/>
        <v>69</v>
      </c>
    </row>
    <row r="143" spans="1:6" x14ac:dyDescent="0.25">
      <c r="A143" s="1" t="s">
        <v>145</v>
      </c>
      <c r="B143" s="2">
        <v>155</v>
      </c>
      <c r="C143" s="3">
        <f t="shared" si="4"/>
        <v>65.099999999999994</v>
      </c>
      <c r="D143" s="3">
        <f t="shared" si="5"/>
        <v>63.55</v>
      </c>
      <c r="E143" s="4">
        <f t="shared" si="6"/>
        <v>68.2</v>
      </c>
      <c r="F143" s="4">
        <f t="shared" si="7"/>
        <v>84</v>
      </c>
    </row>
    <row r="144" spans="1:6" x14ac:dyDescent="0.25">
      <c r="A144" s="1" t="s">
        <v>146</v>
      </c>
      <c r="B144" s="2">
        <v>107</v>
      </c>
      <c r="C144" s="3">
        <f t="shared" si="4"/>
        <v>44.94</v>
      </c>
      <c r="D144" s="3">
        <f t="shared" si="5"/>
        <v>43.87</v>
      </c>
      <c r="E144" s="4">
        <f t="shared" si="6"/>
        <v>47.08</v>
      </c>
      <c r="F144" s="4">
        <f t="shared" si="7"/>
        <v>58</v>
      </c>
    </row>
    <row r="145" spans="1:6" x14ac:dyDescent="0.25">
      <c r="A145" s="1" t="s">
        <v>147</v>
      </c>
      <c r="B145" s="2">
        <v>109</v>
      </c>
      <c r="C145" s="3">
        <f t="shared" si="4"/>
        <v>45.78</v>
      </c>
      <c r="D145" s="3">
        <f t="shared" si="5"/>
        <v>44.69</v>
      </c>
      <c r="E145" s="4">
        <f t="shared" si="6"/>
        <v>47.96</v>
      </c>
      <c r="F145" s="4">
        <f t="shared" si="7"/>
        <v>59</v>
      </c>
    </row>
    <row r="146" spans="1:6" x14ac:dyDescent="0.25">
      <c r="A146" s="1" t="s">
        <v>148</v>
      </c>
      <c r="B146" s="2">
        <v>109</v>
      </c>
      <c r="C146" s="3">
        <f t="shared" si="4"/>
        <v>45.78</v>
      </c>
      <c r="D146" s="3">
        <f t="shared" si="5"/>
        <v>44.69</v>
      </c>
      <c r="E146" s="4">
        <f t="shared" si="6"/>
        <v>47.96</v>
      </c>
      <c r="F146" s="4">
        <f t="shared" si="7"/>
        <v>59</v>
      </c>
    </row>
    <row r="147" spans="1:6" x14ac:dyDescent="0.25">
      <c r="A147" s="1" t="s">
        <v>149</v>
      </c>
      <c r="B147" s="2">
        <v>177</v>
      </c>
      <c r="C147" s="3">
        <f t="shared" si="4"/>
        <v>74.34</v>
      </c>
      <c r="D147" s="3">
        <f t="shared" si="5"/>
        <v>72.569999999999993</v>
      </c>
      <c r="E147" s="4">
        <f t="shared" si="6"/>
        <v>77.88</v>
      </c>
      <c r="F147" s="4">
        <f t="shared" si="7"/>
        <v>96</v>
      </c>
    </row>
    <row r="148" spans="1:6" x14ac:dyDescent="0.25">
      <c r="A148" s="1" t="s">
        <v>150</v>
      </c>
      <c r="B148" s="2">
        <v>269</v>
      </c>
      <c r="C148" s="3">
        <f>B148-(B148*58/100)</f>
        <v>112.97999999999999</v>
      </c>
      <c r="D148" s="3">
        <f>B148-(B148*59/100)</f>
        <v>110.28999999999999</v>
      </c>
      <c r="E148" s="4">
        <f>B148-(B148*56/100)</f>
        <v>118.36000000000001</v>
      </c>
      <c r="F148" s="4">
        <f>ROUNDUP(B148-(B148*46/100),0)</f>
        <v>146</v>
      </c>
    </row>
    <row r="149" spans="1:6" x14ac:dyDescent="0.25">
      <c r="A149" s="1" t="s">
        <v>151</v>
      </c>
      <c r="B149" s="2">
        <v>185</v>
      </c>
      <c r="C149" s="3">
        <f>B149-(B149*58/100)</f>
        <v>77.7</v>
      </c>
      <c r="D149" s="3">
        <f>B149-(B149*59/100)</f>
        <v>75.849999999999994</v>
      </c>
      <c r="E149" s="4">
        <f>B149-(B149*56/100)</f>
        <v>81.400000000000006</v>
      </c>
      <c r="F149" s="4">
        <f>ROUNDUP(B149-(B149*46/100),0)</f>
        <v>100</v>
      </c>
    </row>
    <row r="150" spans="1:6" x14ac:dyDescent="0.25">
      <c r="A150" s="1" t="s">
        <v>152</v>
      </c>
      <c r="B150" s="2">
        <v>445</v>
      </c>
      <c r="C150" s="3">
        <f t="shared" si="4"/>
        <v>186.89999999999998</v>
      </c>
      <c r="D150" s="3">
        <f t="shared" si="5"/>
        <v>182.45</v>
      </c>
      <c r="E150" s="4">
        <f t="shared" si="6"/>
        <v>195.8</v>
      </c>
      <c r="F150" s="4">
        <f t="shared" si="7"/>
        <v>241</v>
      </c>
    </row>
    <row r="151" spans="1:6" x14ac:dyDescent="0.25">
      <c r="A151" s="1" t="s">
        <v>153</v>
      </c>
      <c r="B151" s="2">
        <v>580</v>
      </c>
      <c r="C151" s="3">
        <f t="shared" si="4"/>
        <v>243.60000000000002</v>
      </c>
      <c r="D151" s="3">
        <f t="shared" si="5"/>
        <v>237.8</v>
      </c>
      <c r="E151" s="4">
        <f t="shared" si="6"/>
        <v>255.2</v>
      </c>
      <c r="F151" s="4">
        <f t="shared" si="7"/>
        <v>314</v>
      </c>
    </row>
    <row r="152" spans="1:6" x14ac:dyDescent="0.25">
      <c r="A152" s="1" t="s">
        <v>154</v>
      </c>
      <c r="B152" s="2">
        <v>330</v>
      </c>
      <c r="C152" s="3">
        <f t="shared" si="4"/>
        <v>138.6</v>
      </c>
      <c r="D152" s="3">
        <f t="shared" si="5"/>
        <v>135.30000000000001</v>
      </c>
      <c r="E152" s="4">
        <f t="shared" si="6"/>
        <v>145.19999999999999</v>
      </c>
      <c r="F152" s="4">
        <f t="shared" si="7"/>
        <v>179</v>
      </c>
    </row>
    <row r="153" spans="1:6" x14ac:dyDescent="0.25">
      <c r="A153" s="1" t="s">
        <v>155</v>
      </c>
      <c r="B153" s="2">
        <v>460</v>
      </c>
      <c r="C153" s="3">
        <f t="shared" si="4"/>
        <v>193.2</v>
      </c>
      <c r="D153" s="3">
        <f t="shared" si="5"/>
        <v>188.60000000000002</v>
      </c>
      <c r="E153" s="4">
        <f t="shared" si="6"/>
        <v>202.39999999999998</v>
      </c>
      <c r="F153" s="4">
        <f t="shared" si="7"/>
        <v>249</v>
      </c>
    </row>
    <row r="154" spans="1:6" x14ac:dyDescent="0.25">
      <c r="A154" s="1" t="s">
        <v>156</v>
      </c>
      <c r="B154" s="2">
        <v>565</v>
      </c>
      <c r="C154" s="3">
        <f t="shared" si="4"/>
        <v>237.3</v>
      </c>
      <c r="D154" s="3">
        <f t="shared" si="5"/>
        <v>231.64999999999998</v>
      </c>
      <c r="E154" s="4">
        <f t="shared" si="6"/>
        <v>248.60000000000002</v>
      </c>
      <c r="F154" s="4">
        <f t="shared" si="7"/>
        <v>306</v>
      </c>
    </row>
    <row r="155" spans="1:6" x14ac:dyDescent="0.25">
      <c r="A155" s="1" t="s">
        <v>157</v>
      </c>
      <c r="B155" s="2">
        <v>780</v>
      </c>
      <c r="C155" s="3">
        <f t="shared" si="4"/>
        <v>327.60000000000002</v>
      </c>
      <c r="D155" s="3">
        <f t="shared" si="5"/>
        <v>319.8</v>
      </c>
      <c r="E155" s="4">
        <f t="shared" si="6"/>
        <v>343.2</v>
      </c>
      <c r="F155" s="4">
        <f t="shared" si="7"/>
        <v>422</v>
      </c>
    </row>
    <row r="156" spans="1:6" x14ac:dyDescent="0.25">
      <c r="A156" s="1" t="s">
        <v>158</v>
      </c>
      <c r="B156" s="2">
        <v>825</v>
      </c>
      <c r="C156" s="3">
        <f t="shared" si="4"/>
        <v>346.5</v>
      </c>
      <c r="D156" s="3">
        <f t="shared" si="5"/>
        <v>338.25</v>
      </c>
      <c r="E156" s="4">
        <f t="shared" si="6"/>
        <v>363</v>
      </c>
      <c r="F156" s="4">
        <f t="shared" si="7"/>
        <v>446</v>
      </c>
    </row>
    <row r="157" spans="1:6" x14ac:dyDescent="0.25">
      <c r="A157" s="1" t="s">
        <v>159</v>
      </c>
      <c r="B157" s="2">
        <v>890</v>
      </c>
      <c r="C157" s="3">
        <f t="shared" si="4"/>
        <v>373.79999999999995</v>
      </c>
      <c r="D157" s="3">
        <f t="shared" si="5"/>
        <v>364.9</v>
      </c>
      <c r="E157" s="4">
        <f t="shared" si="6"/>
        <v>391.6</v>
      </c>
      <c r="F157" s="4">
        <f t="shared" si="7"/>
        <v>481</v>
      </c>
    </row>
    <row r="158" spans="1:6" x14ac:dyDescent="0.25">
      <c r="A158" s="1" t="s">
        <v>160</v>
      </c>
      <c r="B158" s="2">
        <v>1540</v>
      </c>
      <c r="C158" s="3">
        <f t="shared" si="4"/>
        <v>646.79999999999995</v>
      </c>
      <c r="D158" s="3">
        <f t="shared" si="5"/>
        <v>631.4</v>
      </c>
      <c r="E158" s="4">
        <f t="shared" si="6"/>
        <v>677.6</v>
      </c>
      <c r="F158" s="4">
        <f t="shared" si="7"/>
        <v>832</v>
      </c>
    </row>
    <row r="159" spans="1:6" x14ac:dyDescent="0.25">
      <c r="A159" s="1" t="s">
        <v>161</v>
      </c>
      <c r="B159" s="2">
        <v>2015</v>
      </c>
      <c r="C159" s="3">
        <f t="shared" si="4"/>
        <v>846.3</v>
      </c>
      <c r="D159" s="3">
        <f t="shared" si="5"/>
        <v>826.15000000000009</v>
      </c>
      <c r="E159" s="4">
        <f t="shared" si="6"/>
        <v>886.59999999999991</v>
      </c>
      <c r="F159" s="4">
        <f t="shared" si="7"/>
        <v>1089</v>
      </c>
    </row>
    <row r="160" spans="1:6" x14ac:dyDescent="0.25">
      <c r="A160" s="1" t="s">
        <v>162</v>
      </c>
      <c r="B160" s="2">
        <v>2540</v>
      </c>
      <c r="C160" s="3">
        <f t="shared" si="4"/>
        <v>1066.8</v>
      </c>
      <c r="D160" s="3">
        <f t="shared" si="5"/>
        <v>1041.4000000000001</v>
      </c>
      <c r="E160" s="4">
        <f t="shared" si="6"/>
        <v>1117.5999999999999</v>
      </c>
      <c r="F160" s="4">
        <f t="shared" si="7"/>
        <v>1372</v>
      </c>
    </row>
    <row r="161" spans="1:6" x14ac:dyDescent="0.25">
      <c r="A161" s="1" t="s">
        <v>163</v>
      </c>
      <c r="B161" s="2">
        <v>695</v>
      </c>
      <c r="C161" s="3">
        <f t="shared" ref="C161:C224" si="8">B161-(B161*58/100)</f>
        <v>291.89999999999998</v>
      </c>
      <c r="D161" s="3">
        <f t="shared" ref="D161:D224" si="9">B161-(B161*59/100)</f>
        <v>284.95</v>
      </c>
      <c r="E161" s="4">
        <f t="shared" ref="E161:E224" si="10">B161-(B161*56/100)</f>
        <v>305.8</v>
      </c>
      <c r="F161" s="4">
        <f t="shared" ref="F161:F224" si="11">ROUNDUP(B161-(B161*46/100),0)</f>
        <v>376</v>
      </c>
    </row>
    <row r="162" spans="1:6" x14ac:dyDescent="0.25">
      <c r="A162" s="1" t="s">
        <v>164</v>
      </c>
      <c r="B162" s="2">
        <v>830</v>
      </c>
      <c r="C162" s="3">
        <f t="shared" si="8"/>
        <v>348.6</v>
      </c>
      <c r="D162" s="3">
        <f t="shared" si="9"/>
        <v>340.3</v>
      </c>
      <c r="E162" s="4">
        <f t="shared" si="10"/>
        <v>365.2</v>
      </c>
      <c r="F162" s="4">
        <f t="shared" si="11"/>
        <v>449</v>
      </c>
    </row>
    <row r="163" spans="1:6" x14ac:dyDescent="0.25">
      <c r="A163" s="1" t="s">
        <v>165</v>
      </c>
      <c r="B163" s="2">
        <v>1045</v>
      </c>
      <c r="C163" s="3">
        <f t="shared" si="8"/>
        <v>438.9</v>
      </c>
      <c r="D163" s="3">
        <f t="shared" si="9"/>
        <v>428.45000000000005</v>
      </c>
      <c r="E163" s="4">
        <f t="shared" si="10"/>
        <v>459.79999999999995</v>
      </c>
      <c r="F163" s="4">
        <f t="shared" si="11"/>
        <v>565</v>
      </c>
    </row>
    <row r="164" spans="1:6" x14ac:dyDescent="0.25">
      <c r="A164" s="1" t="s">
        <v>166</v>
      </c>
      <c r="B164" s="2">
        <v>1325</v>
      </c>
      <c r="C164" s="3">
        <f t="shared" si="8"/>
        <v>556.5</v>
      </c>
      <c r="D164" s="3">
        <f t="shared" si="9"/>
        <v>543.25</v>
      </c>
      <c r="E164" s="4">
        <f t="shared" si="10"/>
        <v>583</v>
      </c>
      <c r="F164" s="4">
        <f t="shared" si="11"/>
        <v>716</v>
      </c>
    </row>
    <row r="165" spans="1:6" x14ac:dyDescent="0.25">
      <c r="A165" s="1" t="s">
        <v>167</v>
      </c>
      <c r="B165" s="2">
        <v>875</v>
      </c>
      <c r="C165" s="3">
        <f>B165-(B165*58/100)</f>
        <v>367.5</v>
      </c>
      <c r="D165" s="3">
        <f>B165-(B165*59/100)</f>
        <v>358.75</v>
      </c>
      <c r="E165" s="4">
        <f>B165-(B165*56/100)</f>
        <v>385</v>
      </c>
      <c r="F165" s="4">
        <f>ROUNDUP(B165-(B165*46/100),0)</f>
        <v>473</v>
      </c>
    </row>
    <row r="166" spans="1:6" x14ac:dyDescent="0.25">
      <c r="A166" s="1" t="s">
        <v>168</v>
      </c>
      <c r="B166" s="2">
        <v>1235</v>
      </c>
      <c r="C166" s="3">
        <f>B166-(B166*58/100)</f>
        <v>518.70000000000005</v>
      </c>
      <c r="D166" s="3">
        <f>B166-(B166*59/100)</f>
        <v>506.35</v>
      </c>
      <c r="E166" s="4">
        <f>B166-(B166*56/100)</f>
        <v>543.4</v>
      </c>
      <c r="F166" s="4">
        <f>ROUNDUP(B166-(B166*46/100),0)</f>
        <v>667</v>
      </c>
    </row>
    <row r="167" spans="1:6" x14ac:dyDescent="0.25">
      <c r="A167" s="1" t="s">
        <v>169</v>
      </c>
      <c r="B167" s="2">
        <v>290</v>
      </c>
      <c r="C167" s="3">
        <f t="shared" si="8"/>
        <v>121.80000000000001</v>
      </c>
      <c r="D167" s="3">
        <f t="shared" si="9"/>
        <v>118.9</v>
      </c>
      <c r="E167" s="4">
        <f t="shared" si="10"/>
        <v>127.6</v>
      </c>
      <c r="F167" s="4">
        <f t="shared" si="11"/>
        <v>157</v>
      </c>
    </row>
    <row r="168" spans="1:6" x14ac:dyDescent="0.25">
      <c r="A168" s="1" t="s">
        <v>170</v>
      </c>
      <c r="B168" s="2">
        <v>860</v>
      </c>
      <c r="C168" s="3">
        <f t="shared" si="8"/>
        <v>361.2</v>
      </c>
      <c r="D168" s="3">
        <f t="shared" si="9"/>
        <v>352.6</v>
      </c>
      <c r="E168" s="4">
        <f t="shared" si="10"/>
        <v>378.4</v>
      </c>
      <c r="F168" s="4">
        <f t="shared" si="11"/>
        <v>465</v>
      </c>
    </row>
    <row r="169" spans="1:6" x14ac:dyDescent="0.25">
      <c r="A169" s="1" t="s">
        <v>171</v>
      </c>
      <c r="B169" s="2">
        <v>1100</v>
      </c>
      <c r="C169" s="3">
        <f t="shared" si="8"/>
        <v>462</v>
      </c>
      <c r="D169" s="3">
        <f t="shared" si="9"/>
        <v>451</v>
      </c>
      <c r="E169" s="4">
        <f t="shared" si="10"/>
        <v>484</v>
      </c>
      <c r="F169" s="4">
        <f t="shared" si="11"/>
        <v>594</v>
      </c>
    </row>
    <row r="170" spans="1:6" x14ac:dyDescent="0.25">
      <c r="A170" s="1" t="s">
        <v>172</v>
      </c>
      <c r="B170" s="2">
        <v>1550</v>
      </c>
      <c r="C170" s="3">
        <f t="shared" si="8"/>
        <v>651</v>
      </c>
      <c r="D170" s="3">
        <f t="shared" si="9"/>
        <v>635.5</v>
      </c>
      <c r="E170" s="4">
        <f t="shared" si="10"/>
        <v>682</v>
      </c>
      <c r="F170" s="4">
        <f t="shared" si="11"/>
        <v>837</v>
      </c>
    </row>
    <row r="171" spans="1:6" x14ac:dyDescent="0.25">
      <c r="A171" s="1" t="s">
        <v>173</v>
      </c>
      <c r="B171" s="2">
        <v>1985</v>
      </c>
      <c r="C171" s="3">
        <f t="shared" si="8"/>
        <v>833.7</v>
      </c>
      <c r="D171" s="3">
        <f t="shared" si="9"/>
        <v>813.84999999999991</v>
      </c>
      <c r="E171" s="4">
        <f t="shared" si="10"/>
        <v>873.40000000000009</v>
      </c>
      <c r="F171" s="4">
        <f t="shared" si="11"/>
        <v>1072</v>
      </c>
    </row>
    <row r="172" spans="1:6" x14ac:dyDescent="0.25">
      <c r="A172" s="1" t="s">
        <v>174</v>
      </c>
      <c r="B172" s="2">
        <v>1515</v>
      </c>
      <c r="C172" s="3">
        <f t="shared" si="8"/>
        <v>636.29999999999995</v>
      </c>
      <c r="D172" s="3">
        <f t="shared" si="9"/>
        <v>621.15</v>
      </c>
      <c r="E172" s="4">
        <f t="shared" si="10"/>
        <v>666.6</v>
      </c>
      <c r="F172" s="4">
        <f t="shared" si="11"/>
        <v>819</v>
      </c>
    </row>
    <row r="173" spans="1:6" x14ac:dyDescent="0.25">
      <c r="A173" s="1" t="s">
        <v>175</v>
      </c>
      <c r="B173" s="2">
        <v>1985</v>
      </c>
      <c r="C173" s="3">
        <f t="shared" si="8"/>
        <v>833.7</v>
      </c>
      <c r="D173" s="3">
        <f t="shared" si="9"/>
        <v>813.84999999999991</v>
      </c>
      <c r="E173" s="4">
        <f t="shared" si="10"/>
        <v>873.40000000000009</v>
      </c>
      <c r="F173" s="4">
        <f t="shared" si="11"/>
        <v>1072</v>
      </c>
    </row>
    <row r="174" spans="1:6" x14ac:dyDescent="0.25">
      <c r="A174" s="1" t="s">
        <v>176</v>
      </c>
      <c r="B174" s="2">
        <v>1410</v>
      </c>
      <c r="C174" s="3">
        <f t="shared" si="8"/>
        <v>592.20000000000005</v>
      </c>
      <c r="D174" s="3">
        <f t="shared" si="9"/>
        <v>578.1</v>
      </c>
      <c r="E174" s="4">
        <f t="shared" si="10"/>
        <v>620.4</v>
      </c>
      <c r="F174" s="4">
        <f t="shared" si="11"/>
        <v>762</v>
      </c>
    </row>
    <row r="175" spans="1:6" x14ac:dyDescent="0.25">
      <c r="A175" s="1" t="s">
        <v>177</v>
      </c>
      <c r="B175" s="2">
        <v>1680</v>
      </c>
      <c r="C175" s="3">
        <f>B175-(B175*58/100)</f>
        <v>705.6</v>
      </c>
      <c r="D175" s="3">
        <f>B175-(B175*59/100)</f>
        <v>688.8</v>
      </c>
      <c r="E175" s="4">
        <f>B175-(B175*56/100)</f>
        <v>739.2</v>
      </c>
      <c r="F175" s="4">
        <f>ROUNDUP(B175-(B175*46/100),0)</f>
        <v>908</v>
      </c>
    </row>
    <row r="176" spans="1:6" x14ac:dyDescent="0.25">
      <c r="A176" s="1" t="s">
        <v>178</v>
      </c>
      <c r="B176" s="2">
        <v>1495</v>
      </c>
      <c r="C176" s="3">
        <f t="shared" si="8"/>
        <v>627.9</v>
      </c>
      <c r="D176" s="3">
        <f t="shared" si="9"/>
        <v>612.95000000000005</v>
      </c>
      <c r="E176" s="4">
        <f t="shared" si="10"/>
        <v>657.8</v>
      </c>
      <c r="F176" s="4">
        <f t="shared" si="11"/>
        <v>808</v>
      </c>
    </row>
    <row r="177" spans="1:6" x14ac:dyDescent="0.25">
      <c r="A177" s="1" t="s">
        <v>179</v>
      </c>
      <c r="B177" s="2">
        <v>1685</v>
      </c>
      <c r="C177" s="3">
        <f t="shared" si="8"/>
        <v>707.7</v>
      </c>
      <c r="D177" s="3">
        <f t="shared" si="9"/>
        <v>690.85</v>
      </c>
      <c r="E177" s="4">
        <f t="shared" si="10"/>
        <v>741.4</v>
      </c>
      <c r="F177" s="4">
        <f t="shared" si="11"/>
        <v>910</v>
      </c>
    </row>
    <row r="178" spans="1:6" x14ac:dyDescent="0.25">
      <c r="A178" s="1" t="s">
        <v>180</v>
      </c>
      <c r="B178" s="2">
        <v>1850</v>
      </c>
      <c r="C178" s="3">
        <f t="shared" si="8"/>
        <v>777</v>
      </c>
      <c r="D178" s="3">
        <f t="shared" si="9"/>
        <v>758.5</v>
      </c>
      <c r="E178" s="4">
        <f t="shared" si="10"/>
        <v>814</v>
      </c>
      <c r="F178" s="4">
        <f t="shared" si="11"/>
        <v>999</v>
      </c>
    </row>
    <row r="179" spans="1:6" x14ac:dyDescent="0.25">
      <c r="A179" s="1" t="s">
        <v>181</v>
      </c>
      <c r="B179" s="2">
        <v>1345</v>
      </c>
      <c r="C179" s="3">
        <f t="shared" si="8"/>
        <v>564.9</v>
      </c>
      <c r="D179" s="3">
        <f t="shared" si="9"/>
        <v>551.45000000000005</v>
      </c>
      <c r="E179" s="4">
        <f t="shared" si="10"/>
        <v>591.79999999999995</v>
      </c>
      <c r="F179" s="4">
        <f t="shared" si="11"/>
        <v>727</v>
      </c>
    </row>
    <row r="180" spans="1:6" x14ac:dyDescent="0.25">
      <c r="A180" s="1" t="s">
        <v>182</v>
      </c>
      <c r="B180" s="2">
        <v>1070</v>
      </c>
      <c r="C180" s="3">
        <f>B180-(B180*58/100)</f>
        <v>449.4</v>
      </c>
      <c r="D180" s="3">
        <f>B180-(B180*59/100)</f>
        <v>438.70000000000005</v>
      </c>
      <c r="E180" s="4">
        <f>B180-(B180*56/100)</f>
        <v>470.79999999999995</v>
      </c>
      <c r="F180" s="4">
        <f>ROUNDUP(B180-(B180*46/100),0)</f>
        <v>578</v>
      </c>
    </row>
    <row r="181" spans="1:6" x14ac:dyDescent="0.25">
      <c r="A181" s="1" t="s">
        <v>183</v>
      </c>
      <c r="B181" s="2">
        <v>875</v>
      </c>
      <c r="C181" s="3">
        <f>B181-(B181*58/100)</f>
        <v>367.5</v>
      </c>
      <c r="D181" s="3">
        <f>B181-(B181*59/100)</f>
        <v>358.75</v>
      </c>
      <c r="E181" s="4">
        <f>B181-(B181*56/100)</f>
        <v>385</v>
      </c>
      <c r="F181" s="4">
        <f>ROUNDUP(B181-(B181*46/100),0)</f>
        <v>473</v>
      </c>
    </row>
    <row r="182" spans="1:6" x14ac:dyDescent="0.25">
      <c r="A182" s="1" t="s">
        <v>184</v>
      </c>
      <c r="B182" s="2">
        <v>2205</v>
      </c>
      <c r="C182" s="3">
        <f t="shared" si="8"/>
        <v>926.09999999999991</v>
      </c>
      <c r="D182" s="3">
        <f t="shared" si="9"/>
        <v>904.05</v>
      </c>
      <c r="E182" s="4">
        <f t="shared" si="10"/>
        <v>970.2</v>
      </c>
      <c r="F182" s="4">
        <f t="shared" si="11"/>
        <v>1191</v>
      </c>
    </row>
    <row r="183" spans="1:6" x14ac:dyDescent="0.25">
      <c r="A183" s="1" t="s">
        <v>185</v>
      </c>
      <c r="B183" s="2">
        <v>2565</v>
      </c>
      <c r="C183" s="3">
        <f t="shared" si="8"/>
        <v>1077.3</v>
      </c>
      <c r="D183" s="3">
        <f t="shared" si="9"/>
        <v>1051.6500000000001</v>
      </c>
      <c r="E183" s="4">
        <f t="shared" si="10"/>
        <v>1128.5999999999999</v>
      </c>
      <c r="F183" s="4">
        <f t="shared" si="11"/>
        <v>1386</v>
      </c>
    </row>
    <row r="184" spans="1:6" x14ac:dyDescent="0.25">
      <c r="A184" s="1" t="s">
        <v>186</v>
      </c>
      <c r="B184" s="2">
        <v>1585</v>
      </c>
      <c r="C184" s="3">
        <f t="shared" si="8"/>
        <v>665.7</v>
      </c>
      <c r="D184" s="3">
        <f t="shared" si="9"/>
        <v>649.85</v>
      </c>
      <c r="E184" s="4">
        <f t="shared" si="10"/>
        <v>697.4</v>
      </c>
      <c r="F184" s="4">
        <f t="shared" si="11"/>
        <v>856</v>
      </c>
    </row>
    <row r="185" spans="1:6" x14ac:dyDescent="0.25">
      <c r="A185" s="1" t="s">
        <v>187</v>
      </c>
      <c r="B185" s="2">
        <v>7255</v>
      </c>
      <c r="C185" s="3">
        <f t="shared" si="8"/>
        <v>3047.1000000000004</v>
      </c>
      <c r="D185" s="3">
        <f t="shared" si="9"/>
        <v>2974.55</v>
      </c>
      <c r="E185" s="4">
        <f t="shared" si="10"/>
        <v>3192.2</v>
      </c>
      <c r="F185" s="4">
        <f t="shared" si="11"/>
        <v>3918</v>
      </c>
    </row>
    <row r="186" spans="1:6" x14ac:dyDescent="0.25">
      <c r="A186" s="1" t="s">
        <v>188</v>
      </c>
      <c r="B186" s="2">
        <v>1555</v>
      </c>
      <c r="C186" s="3">
        <f>B186-(B186*58/100)</f>
        <v>653.1</v>
      </c>
      <c r="D186" s="3">
        <f>B186-(B186*59/100)</f>
        <v>637.54999999999995</v>
      </c>
      <c r="E186" s="4">
        <f>B186-(B186*56/100)</f>
        <v>684.2</v>
      </c>
      <c r="F186" s="4">
        <f>ROUNDUP(B186-(B186*46/100),0)</f>
        <v>840</v>
      </c>
    </row>
    <row r="187" spans="1:6" x14ac:dyDescent="0.25">
      <c r="A187" s="1" t="s">
        <v>189</v>
      </c>
      <c r="B187" s="2">
        <v>2310</v>
      </c>
      <c r="C187" s="3">
        <f>B187-(B187*58/100)</f>
        <v>970.2</v>
      </c>
      <c r="D187" s="3">
        <f>B187-(B187*59/100)</f>
        <v>947.09999999999991</v>
      </c>
      <c r="E187" s="4">
        <f>B187-(B187*56/100)</f>
        <v>1016.4000000000001</v>
      </c>
      <c r="F187" s="4">
        <f>ROUNDUP(B187-(B187*46/100),0)</f>
        <v>1248</v>
      </c>
    </row>
    <row r="188" spans="1:6" x14ac:dyDescent="0.25">
      <c r="A188" s="1" t="s">
        <v>190</v>
      </c>
      <c r="B188" s="2">
        <v>675</v>
      </c>
      <c r="C188" s="3">
        <f t="shared" si="8"/>
        <v>283.5</v>
      </c>
      <c r="D188" s="3">
        <f t="shared" si="9"/>
        <v>276.75</v>
      </c>
      <c r="E188" s="4">
        <f t="shared" si="10"/>
        <v>297</v>
      </c>
      <c r="F188" s="4">
        <f t="shared" si="11"/>
        <v>365</v>
      </c>
    </row>
    <row r="189" spans="1:6" x14ac:dyDescent="0.25">
      <c r="A189" s="1" t="s">
        <v>191</v>
      </c>
      <c r="B189" s="2">
        <v>1310</v>
      </c>
      <c r="C189" s="3">
        <f t="shared" si="8"/>
        <v>550.20000000000005</v>
      </c>
      <c r="D189" s="3">
        <f t="shared" si="9"/>
        <v>537.1</v>
      </c>
      <c r="E189" s="4">
        <f t="shared" si="10"/>
        <v>576.4</v>
      </c>
      <c r="F189" s="4">
        <f t="shared" si="11"/>
        <v>708</v>
      </c>
    </row>
    <row r="190" spans="1:6" x14ac:dyDescent="0.25">
      <c r="A190" s="1" t="s">
        <v>192</v>
      </c>
      <c r="B190" s="2">
        <v>285</v>
      </c>
      <c r="C190" s="3">
        <f>B190-(B190*58/100)</f>
        <v>119.69999999999999</v>
      </c>
      <c r="D190" s="3">
        <f>B190-(B190*59/100)</f>
        <v>116.85</v>
      </c>
      <c r="E190" s="4">
        <f>B190-(B190*56/100)</f>
        <v>125.4</v>
      </c>
      <c r="F190" s="4">
        <f>ROUNDUP(B190-(B190*46/100),0)</f>
        <v>154</v>
      </c>
    </row>
    <row r="191" spans="1:6" x14ac:dyDescent="0.25">
      <c r="A191" s="1" t="s">
        <v>193</v>
      </c>
      <c r="B191" s="2">
        <v>401</v>
      </c>
      <c r="C191" s="3">
        <f>B191-(B191*58/100)</f>
        <v>168.42</v>
      </c>
      <c r="D191" s="3">
        <f>B191-(B191*59/100)</f>
        <v>164.41</v>
      </c>
      <c r="E191" s="4">
        <f>B191-(B191*56/100)</f>
        <v>176.44</v>
      </c>
      <c r="F191" s="4">
        <f>ROUNDUP(B191-(B191*46/100),0)</f>
        <v>217</v>
      </c>
    </row>
    <row r="192" spans="1:6" x14ac:dyDescent="0.25">
      <c r="A192" s="1" t="s">
        <v>194</v>
      </c>
      <c r="B192" s="2">
        <v>980</v>
      </c>
      <c r="C192" s="3">
        <f>B192-(B192*58/100)</f>
        <v>411.6</v>
      </c>
      <c r="D192" s="3">
        <f>B192-(B192*59/100)</f>
        <v>401.79999999999995</v>
      </c>
      <c r="E192" s="4">
        <f>B192-(B192*56/100)</f>
        <v>431.20000000000005</v>
      </c>
      <c r="F192" s="4">
        <f>ROUNDUP(B192-(B192*46/100),0)</f>
        <v>530</v>
      </c>
    </row>
    <row r="193" spans="1:6" x14ac:dyDescent="0.25">
      <c r="A193" s="1" t="s">
        <v>195</v>
      </c>
      <c r="B193" s="2">
        <v>980</v>
      </c>
      <c r="C193" s="3">
        <f>B193-(B193*58/100)</f>
        <v>411.6</v>
      </c>
      <c r="D193" s="3">
        <f>B193-(B193*59/100)</f>
        <v>401.79999999999995</v>
      </c>
      <c r="E193" s="4">
        <f>B193-(B193*56/100)</f>
        <v>431.20000000000005</v>
      </c>
      <c r="F193" s="4">
        <f>ROUNDUP(B193-(B193*46/100),0)</f>
        <v>530</v>
      </c>
    </row>
    <row r="194" spans="1:6" x14ac:dyDescent="0.25">
      <c r="A194" s="1" t="s">
        <v>196</v>
      </c>
      <c r="B194" s="2">
        <v>980</v>
      </c>
      <c r="C194" s="3">
        <f>B194-(B194*58/100)</f>
        <v>411.6</v>
      </c>
      <c r="D194" s="3">
        <f>B194-(B194*59/100)</f>
        <v>401.79999999999995</v>
      </c>
      <c r="E194" s="4">
        <f>B194-(B194*56/100)</f>
        <v>431.20000000000005</v>
      </c>
      <c r="F194" s="4">
        <f>ROUNDUP(B194-(B194*46/100),0)</f>
        <v>530</v>
      </c>
    </row>
    <row r="195" spans="1:6" x14ac:dyDescent="0.25">
      <c r="A195" s="1" t="s">
        <v>197</v>
      </c>
      <c r="B195" s="2">
        <v>485</v>
      </c>
      <c r="C195" s="3">
        <f t="shared" si="8"/>
        <v>203.7</v>
      </c>
      <c r="D195" s="3">
        <f t="shared" si="9"/>
        <v>198.85000000000002</v>
      </c>
      <c r="E195" s="4">
        <f t="shared" si="10"/>
        <v>213.39999999999998</v>
      </c>
      <c r="F195" s="4">
        <f t="shared" si="11"/>
        <v>262</v>
      </c>
    </row>
    <row r="196" spans="1:6" x14ac:dyDescent="0.25">
      <c r="A196" s="1" t="s">
        <v>198</v>
      </c>
      <c r="B196" s="2">
        <v>680</v>
      </c>
      <c r="C196" s="3">
        <f t="shared" si="8"/>
        <v>285.60000000000002</v>
      </c>
      <c r="D196" s="3">
        <f t="shared" si="9"/>
        <v>278.8</v>
      </c>
      <c r="E196" s="4">
        <f t="shared" si="10"/>
        <v>299.2</v>
      </c>
      <c r="F196" s="4">
        <f t="shared" si="11"/>
        <v>368</v>
      </c>
    </row>
    <row r="197" spans="1:6" x14ac:dyDescent="0.25">
      <c r="A197" s="1" t="s">
        <v>199</v>
      </c>
      <c r="B197" s="2">
        <v>735</v>
      </c>
      <c r="C197" s="3">
        <f t="shared" si="8"/>
        <v>308.7</v>
      </c>
      <c r="D197" s="3">
        <f t="shared" si="9"/>
        <v>301.35000000000002</v>
      </c>
      <c r="E197" s="4">
        <f t="shared" si="10"/>
        <v>323.39999999999998</v>
      </c>
      <c r="F197" s="4">
        <f t="shared" si="11"/>
        <v>397</v>
      </c>
    </row>
    <row r="198" spans="1:6" x14ac:dyDescent="0.25">
      <c r="A198" s="1" t="s">
        <v>200</v>
      </c>
      <c r="B198" s="2">
        <v>1185</v>
      </c>
      <c r="C198" s="3">
        <f t="shared" si="8"/>
        <v>497.70000000000005</v>
      </c>
      <c r="D198" s="3">
        <f t="shared" si="9"/>
        <v>485.85</v>
      </c>
      <c r="E198" s="4">
        <f t="shared" si="10"/>
        <v>521.4</v>
      </c>
      <c r="F198" s="4">
        <f t="shared" si="11"/>
        <v>640</v>
      </c>
    </row>
    <row r="199" spans="1:6" x14ac:dyDescent="0.25">
      <c r="A199" s="1" t="s">
        <v>201</v>
      </c>
      <c r="B199" s="2">
        <v>1660</v>
      </c>
      <c r="C199" s="3">
        <f t="shared" si="8"/>
        <v>697.2</v>
      </c>
      <c r="D199" s="3">
        <f t="shared" si="9"/>
        <v>680.6</v>
      </c>
      <c r="E199" s="4">
        <f t="shared" si="10"/>
        <v>730.4</v>
      </c>
      <c r="F199" s="4">
        <f t="shared" si="11"/>
        <v>897</v>
      </c>
    </row>
    <row r="200" spans="1:6" x14ac:dyDescent="0.25">
      <c r="A200" s="1" t="s">
        <v>202</v>
      </c>
      <c r="B200" s="2">
        <v>2315</v>
      </c>
      <c r="C200" s="3">
        <f t="shared" si="8"/>
        <v>972.3</v>
      </c>
      <c r="D200" s="3">
        <f t="shared" si="9"/>
        <v>949.15000000000009</v>
      </c>
      <c r="E200" s="4">
        <f t="shared" si="10"/>
        <v>1018.5999999999999</v>
      </c>
      <c r="F200" s="4">
        <f t="shared" si="11"/>
        <v>1251</v>
      </c>
    </row>
    <row r="201" spans="1:6" x14ac:dyDescent="0.25">
      <c r="A201" s="1" t="s">
        <v>203</v>
      </c>
      <c r="B201" s="2">
        <v>580</v>
      </c>
      <c r="C201" s="3">
        <f t="shared" si="8"/>
        <v>243.60000000000002</v>
      </c>
      <c r="D201" s="3">
        <f t="shared" si="9"/>
        <v>237.8</v>
      </c>
      <c r="E201" s="4">
        <f t="shared" si="10"/>
        <v>255.2</v>
      </c>
      <c r="F201" s="4">
        <f t="shared" si="11"/>
        <v>314</v>
      </c>
    </row>
    <row r="202" spans="1:6" x14ac:dyDescent="0.25">
      <c r="A202" s="1" t="s">
        <v>204</v>
      </c>
      <c r="B202" s="2">
        <v>700</v>
      </c>
      <c r="C202" s="3">
        <f t="shared" si="8"/>
        <v>294</v>
      </c>
      <c r="D202" s="3">
        <f t="shared" si="9"/>
        <v>287</v>
      </c>
      <c r="E202" s="4">
        <f t="shared" si="10"/>
        <v>308</v>
      </c>
      <c r="F202" s="4">
        <f t="shared" si="11"/>
        <v>378</v>
      </c>
    </row>
    <row r="203" spans="1:6" x14ac:dyDescent="0.25">
      <c r="A203" s="1" t="s">
        <v>205</v>
      </c>
      <c r="B203" s="2">
        <v>855</v>
      </c>
      <c r="C203" s="3">
        <f t="shared" si="8"/>
        <v>359.1</v>
      </c>
      <c r="D203" s="3">
        <f t="shared" si="9"/>
        <v>350.55</v>
      </c>
      <c r="E203" s="4">
        <f t="shared" si="10"/>
        <v>376.2</v>
      </c>
      <c r="F203" s="4">
        <f t="shared" si="11"/>
        <v>462</v>
      </c>
    </row>
    <row r="204" spans="1:6" x14ac:dyDescent="0.25">
      <c r="A204" s="1" t="s">
        <v>206</v>
      </c>
      <c r="B204" s="2">
        <v>1040</v>
      </c>
      <c r="C204" s="3">
        <f t="shared" si="8"/>
        <v>436.79999999999995</v>
      </c>
      <c r="D204" s="3">
        <f t="shared" si="9"/>
        <v>426.4</v>
      </c>
      <c r="E204" s="4">
        <f t="shared" si="10"/>
        <v>457.6</v>
      </c>
      <c r="F204" s="4">
        <f t="shared" si="11"/>
        <v>562</v>
      </c>
    </row>
    <row r="205" spans="1:6" x14ac:dyDescent="0.25">
      <c r="A205" s="1" t="s">
        <v>207</v>
      </c>
      <c r="B205" s="2">
        <v>1410</v>
      </c>
      <c r="C205" s="3">
        <f t="shared" si="8"/>
        <v>592.20000000000005</v>
      </c>
      <c r="D205" s="3">
        <f t="shared" si="9"/>
        <v>578.1</v>
      </c>
      <c r="E205" s="4">
        <f t="shared" si="10"/>
        <v>620.4</v>
      </c>
      <c r="F205" s="4">
        <f t="shared" si="11"/>
        <v>762</v>
      </c>
    </row>
    <row r="206" spans="1:6" x14ac:dyDescent="0.25">
      <c r="A206" s="1" t="s">
        <v>208</v>
      </c>
      <c r="B206" s="2">
        <v>1360</v>
      </c>
      <c r="C206" s="3">
        <f t="shared" si="8"/>
        <v>571.20000000000005</v>
      </c>
      <c r="D206" s="3">
        <f t="shared" si="9"/>
        <v>557.6</v>
      </c>
      <c r="E206" s="4">
        <f t="shared" si="10"/>
        <v>598.4</v>
      </c>
      <c r="F206" s="4">
        <f t="shared" si="11"/>
        <v>735</v>
      </c>
    </row>
    <row r="207" spans="1:6" x14ac:dyDescent="0.25">
      <c r="A207" s="1" t="s">
        <v>209</v>
      </c>
      <c r="B207" s="2">
        <v>1410</v>
      </c>
      <c r="C207" s="3">
        <f t="shared" si="8"/>
        <v>592.20000000000005</v>
      </c>
      <c r="D207" s="3">
        <f t="shared" si="9"/>
        <v>578.1</v>
      </c>
      <c r="E207" s="4">
        <f t="shared" si="10"/>
        <v>620.4</v>
      </c>
      <c r="F207" s="4">
        <f t="shared" si="11"/>
        <v>762</v>
      </c>
    </row>
    <row r="208" spans="1:6" x14ac:dyDescent="0.25">
      <c r="A208" s="1" t="s">
        <v>210</v>
      </c>
      <c r="B208" s="2">
        <v>1015</v>
      </c>
      <c r="C208" s="3">
        <f t="shared" si="8"/>
        <v>426.29999999999995</v>
      </c>
      <c r="D208" s="3">
        <f t="shared" si="9"/>
        <v>416.15</v>
      </c>
      <c r="E208" s="4">
        <f t="shared" si="10"/>
        <v>446.6</v>
      </c>
      <c r="F208" s="4">
        <f t="shared" si="11"/>
        <v>549</v>
      </c>
    </row>
    <row r="209" spans="1:6" x14ac:dyDescent="0.25">
      <c r="A209" s="1" t="s">
        <v>211</v>
      </c>
      <c r="B209" s="2">
        <v>1040</v>
      </c>
      <c r="C209" s="3">
        <f t="shared" si="8"/>
        <v>436.79999999999995</v>
      </c>
      <c r="D209" s="3">
        <f t="shared" si="9"/>
        <v>426.4</v>
      </c>
      <c r="E209" s="4">
        <f t="shared" si="10"/>
        <v>457.6</v>
      </c>
      <c r="F209" s="4">
        <f t="shared" si="11"/>
        <v>562</v>
      </c>
    </row>
    <row r="210" spans="1:6" x14ac:dyDescent="0.25">
      <c r="A210" s="1" t="s">
        <v>212</v>
      </c>
      <c r="B210" s="2">
        <v>1410</v>
      </c>
      <c r="C210" s="3">
        <f t="shared" si="8"/>
        <v>592.20000000000005</v>
      </c>
      <c r="D210" s="3">
        <f t="shared" si="9"/>
        <v>578.1</v>
      </c>
      <c r="E210" s="4">
        <f t="shared" si="10"/>
        <v>620.4</v>
      </c>
      <c r="F210" s="4">
        <f t="shared" si="11"/>
        <v>762</v>
      </c>
    </row>
    <row r="211" spans="1:6" x14ac:dyDescent="0.25">
      <c r="A211" s="1" t="s">
        <v>213</v>
      </c>
      <c r="B211" s="2">
        <v>1860</v>
      </c>
      <c r="C211" s="3">
        <f t="shared" si="8"/>
        <v>781.2</v>
      </c>
      <c r="D211" s="3">
        <f t="shared" si="9"/>
        <v>762.59999999999991</v>
      </c>
      <c r="E211" s="4">
        <f t="shared" si="10"/>
        <v>818.40000000000009</v>
      </c>
      <c r="F211" s="4">
        <f t="shared" si="11"/>
        <v>1005</v>
      </c>
    </row>
    <row r="212" spans="1:6" x14ac:dyDescent="0.25">
      <c r="A212" s="1" t="s">
        <v>214</v>
      </c>
      <c r="B212" s="2">
        <v>790</v>
      </c>
      <c r="C212" s="3">
        <f t="shared" si="8"/>
        <v>331.8</v>
      </c>
      <c r="D212" s="3">
        <f t="shared" si="9"/>
        <v>323.89999999999998</v>
      </c>
      <c r="E212" s="4">
        <f t="shared" si="10"/>
        <v>347.6</v>
      </c>
      <c r="F212" s="4">
        <f t="shared" si="11"/>
        <v>427</v>
      </c>
    </row>
    <row r="213" spans="1:6" x14ac:dyDescent="0.25">
      <c r="A213" s="1" t="s">
        <v>215</v>
      </c>
      <c r="B213" s="2">
        <v>395</v>
      </c>
      <c r="C213" s="3">
        <f t="shared" si="8"/>
        <v>165.9</v>
      </c>
      <c r="D213" s="3">
        <f t="shared" si="9"/>
        <v>161.94999999999999</v>
      </c>
      <c r="E213" s="4">
        <f t="shared" si="10"/>
        <v>173.8</v>
      </c>
      <c r="F213" s="4">
        <f t="shared" si="11"/>
        <v>214</v>
      </c>
    </row>
    <row r="214" spans="1:6" x14ac:dyDescent="0.25">
      <c r="A214" s="1" t="s">
        <v>216</v>
      </c>
      <c r="B214" s="2">
        <v>795</v>
      </c>
      <c r="C214" s="3">
        <f t="shared" si="8"/>
        <v>333.9</v>
      </c>
      <c r="D214" s="3">
        <f t="shared" si="9"/>
        <v>325.95</v>
      </c>
      <c r="E214" s="4">
        <f t="shared" si="10"/>
        <v>349.8</v>
      </c>
      <c r="F214" s="4">
        <f t="shared" si="11"/>
        <v>430</v>
      </c>
    </row>
    <row r="215" spans="1:6" x14ac:dyDescent="0.25">
      <c r="A215" s="1" t="s">
        <v>217</v>
      </c>
      <c r="B215" s="2">
        <v>795</v>
      </c>
      <c r="C215" s="3">
        <f>B215-(B215*58/100)</f>
        <v>333.9</v>
      </c>
      <c r="D215" s="3">
        <f>B215-(B215*59/100)</f>
        <v>325.95</v>
      </c>
      <c r="E215" s="4">
        <f>B215-(B215*56/100)</f>
        <v>349.8</v>
      </c>
      <c r="F215" s="4">
        <f>ROUNDUP(B215-(B215*46/100),0)</f>
        <v>430</v>
      </c>
    </row>
    <row r="216" spans="1:6" x14ac:dyDescent="0.25">
      <c r="A216" s="1" t="s">
        <v>218</v>
      </c>
      <c r="B216" s="2">
        <v>775</v>
      </c>
      <c r="C216" s="3">
        <f t="shared" si="8"/>
        <v>325.5</v>
      </c>
      <c r="D216" s="3">
        <f t="shared" si="9"/>
        <v>317.75</v>
      </c>
      <c r="E216" s="4">
        <f t="shared" si="10"/>
        <v>341</v>
      </c>
      <c r="F216" s="4">
        <f t="shared" si="11"/>
        <v>419</v>
      </c>
    </row>
    <row r="217" spans="1:6" x14ac:dyDescent="0.25">
      <c r="A217" s="1" t="s">
        <v>219</v>
      </c>
      <c r="B217" s="2">
        <v>730</v>
      </c>
      <c r="C217" s="3">
        <f t="shared" si="8"/>
        <v>306.60000000000002</v>
      </c>
      <c r="D217" s="3">
        <f t="shared" si="9"/>
        <v>299.3</v>
      </c>
      <c r="E217" s="4">
        <f t="shared" si="10"/>
        <v>321.2</v>
      </c>
      <c r="F217" s="4">
        <f t="shared" si="11"/>
        <v>395</v>
      </c>
    </row>
    <row r="218" spans="1:6" x14ac:dyDescent="0.25">
      <c r="A218" s="1" t="s">
        <v>220</v>
      </c>
      <c r="B218" s="2">
        <v>565</v>
      </c>
      <c r="C218" s="3">
        <f t="shared" si="8"/>
        <v>237.3</v>
      </c>
      <c r="D218" s="3">
        <f t="shared" si="9"/>
        <v>231.64999999999998</v>
      </c>
      <c r="E218" s="4">
        <f t="shared" si="10"/>
        <v>248.60000000000002</v>
      </c>
      <c r="F218" s="4">
        <f t="shared" si="11"/>
        <v>306</v>
      </c>
    </row>
    <row r="219" spans="1:6" x14ac:dyDescent="0.25">
      <c r="A219" s="1" t="s">
        <v>221</v>
      </c>
      <c r="B219" s="2">
        <v>590</v>
      </c>
      <c r="C219" s="3">
        <f t="shared" si="8"/>
        <v>247.8</v>
      </c>
      <c r="D219" s="3">
        <f t="shared" si="9"/>
        <v>241.89999999999998</v>
      </c>
      <c r="E219" s="4">
        <f t="shared" si="10"/>
        <v>259.60000000000002</v>
      </c>
      <c r="F219" s="4">
        <f t="shared" si="11"/>
        <v>319</v>
      </c>
    </row>
    <row r="220" spans="1:6" x14ac:dyDescent="0.25">
      <c r="A220" s="1" t="s">
        <v>222</v>
      </c>
      <c r="B220" s="2">
        <v>670</v>
      </c>
      <c r="C220" s="3">
        <f>B220-(B220*58/100)</f>
        <v>281.39999999999998</v>
      </c>
      <c r="D220" s="3">
        <f>B220-(B220*59/100)</f>
        <v>274.7</v>
      </c>
      <c r="E220" s="4">
        <f>B220-(B220*56/100)</f>
        <v>294.8</v>
      </c>
      <c r="F220" s="4">
        <f>ROUNDUP(B220-(B220*46/100),0)</f>
        <v>362</v>
      </c>
    </row>
    <row r="221" spans="1:6" x14ac:dyDescent="0.25">
      <c r="A221" s="1" t="s">
        <v>223</v>
      </c>
      <c r="B221" s="2">
        <v>605</v>
      </c>
      <c r="C221" s="3">
        <f>B221-(B221*58/100)</f>
        <v>254.10000000000002</v>
      </c>
      <c r="D221" s="3">
        <f>B221-(B221*59/100)</f>
        <v>248.05</v>
      </c>
      <c r="E221" s="4">
        <f>B221-(B221*56/100)</f>
        <v>266.2</v>
      </c>
      <c r="F221" s="4">
        <f>ROUNDUP(B221-(B221*46/100),0)</f>
        <v>327</v>
      </c>
    </row>
    <row r="222" spans="1:6" x14ac:dyDescent="0.25">
      <c r="A222" s="1" t="s">
        <v>224</v>
      </c>
      <c r="B222" s="2">
        <v>800</v>
      </c>
      <c r="C222" s="3">
        <f>B222-(B222*58/100)</f>
        <v>336</v>
      </c>
      <c r="D222" s="3">
        <f>B222-(B222*59/100)</f>
        <v>328</v>
      </c>
      <c r="E222" s="4">
        <f>B222-(B222*56/100)</f>
        <v>352</v>
      </c>
      <c r="F222" s="4">
        <f>ROUNDUP(B222-(B222*46/100),0)</f>
        <v>432</v>
      </c>
    </row>
    <row r="223" spans="1:6" x14ac:dyDescent="0.25">
      <c r="A223" s="1" t="s">
        <v>225</v>
      </c>
      <c r="B223" s="2">
        <v>2215</v>
      </c>
      <c r="C223" s="3">
        <f t="shared" si="8"/>
        <v>930.3</v>
      </c>
      <c r="D223" s="3">
        <f t="shared" si="9"/>
        <v>908.15000000000009</v>
      </c>
      <c r="E223" s="4">
        <f t="shared" si="10"/>
        <v>974.59999999999991</v>
      </c>
      <c r="F223" s="4">
        <f t="shared" si="11"/>
        <v>1197</v>
      </c>
    </row>
    <row r="224" spans="1:6" x14ac:dyDescent="0.25">
      <c r="A224" s="1" t="s">
        <v>226</v>
      </c>
      <c r="B224" s="2">
        <v>1635</v>
      </c>
      <c r="C224" s="3">
        <f t="shared" si="8"/>
        <v>686.7</v>
      </c>
      <c r="D224" s="3">
        <f t="shared" si="9"/>
        <v>670.35</v>
      </c>
      <c r="E224" s="4">
        <f t="shared" si="10"/>
        <v>719.4</v>
      </c>
      <c r="F224" s="4">
        <f t="shared" si="11"/>
        <v>883</v>
      </c>
    </row>
    <row r="225" spans="1:6" x14ac:dyDescent="0.25">
      <c r="A225" s="1" t="s">
        <v>227</v>
      </c>
      <c r="B225" s="2">
        <v>1045</v>
      </c>
      <c r="C225" s="3">
        <f t="shared" ref="C225:C288" si="12">B225-(B225*58/100)</f>
        <v>438.9</v>
      </c>
      <c r="D225" s="3">
        <f t="shared" ref="D225:D288" si="13">B225-(B225*59/100)</f>
        <v>428.45000000000005</v>
      </c>
      <c r="E225" s="4">
        <f t="shared" ref="E225:E278" si="14">B225-(B225*56/100)</f>
        <v>459.79999999999995</v>
      </c>
      <c r="F225" s="4">
        <f t="shared" ref="F225:F288" si="15">ROUNDUP(B225-(B225*46/100),0)</f>
        <v>565</v>
      </c>
    </row>
    <row r="226" spans="1:6" x14ac:dyDescent="0.25">
      <c r="A226" s="1" t="s">
        <v>228</v>
      </c>
      <c r="B226" s="2">
        <v>50</v>
      </c>
      <c r="C226" s="3">
        <f t="shared" si="12"/>
        <v>21</v>
      </c>
      <c r="D226" s="3">
        <f t="shared" si="13"/>
        <v>20.5</v>
      </c>
      <c r="E226" s="4">
        <f t="shared" si="14"/>
        <v>22</v>
      </c>
      <c r="F226" s="4">
        <f t="shared" si="15"/>
        <v>27</v>
      </c>
    </row>
    <row r="227" spans="1:6" x14ac:dyDescent="0.25">
      <c r="A227" s="1" t="s">
        <v>229</v>
      </c>
      <c r="B227" s="2">
        <v>73</v>
      </c>
      <c r="C227" s="3">
        <f t="shared" si="12"/>
        <v>30.659999999999997</v>
      </c>
      <c r="D227" s="3">
        <f t="shared" si="13"/>
        <v>29.93</v>
      </c>
      <c r="E227" s="4">
        <f t="shared" si="14"/>
        <v>32.119999999999997</v>
      </c>
      <c r="F227" s="4">
        <f t="shared" si="15"/>
        <v>40</v>
      </c>
    </row>
    <row r="228" spans="1:6" x14ac:dyDescent="0.25">
      <c r="A228" s="1" t="s">
        <v>230</v>
      </c>
      <c r="B228" s="2">
        <v>93</v>
      </c>
      <c r="C228" s="3">
        <f t="shared" si="12"/>
        <v>39.06</v>
      </c>
      <c r="D228" s="3">
        <f t="shared" si="13"/>
        <v>38.130000000000003</v>
      </c>
      <c r="E228" s="4">
        <f t="shared" si="14"/>
        <v>40.92</v>
      </c>
      <c r="F228" s="4">
        <f t="shared" si="15"/>
        <v>51</v>
      </c>
    </row>
    <row r="229" spans="1:6" x14ac:dyDescent="0.25">
      <c r="A229" s="1" t="s">
        <v>231</v>
      </c>
      <c r="B229" s="2">
        <v>195</v>
      </c>
      <c r="C229" s="3">
        <f>B229-(B229*58/100)</f>
        <v>81.900000000000006</v>
      </c>
      <c r="D229" s="3">
        <f>B229-(B229*59/100)</f>
        <v>79.95</v>
      </c>
      <c r="E229" s="4">
        <f>B229-(B229*56/100)</f>
        <v>85.8</v>
      </c>
      <c r="F229" s="4">
        <f>ROUNDUP(B229-(B229*46/100),0)</f>
        <v>106</v>
      </c>
    </row>
    <row r="230" spans="1:6" x14ac:dyDescent="0.25">
      <c r="A230" s="1" t="s">
        <v>232</v>
      </c>
      <c r="B230" s="2">
        <v>145</v>
      </c>
      <c r="C230" s="3">
        <f>B230-(B230*58/100)</f>
        <v>60.900000000000006</v>
      </c>
      <c r="D230" s="3">
        <f>B230-(B230*59/100)</f>
        <v>59.45</v>
      </c>
      <c r="E230" s="4">
        <f>B230-(B230*56/100)</f>
        <v>63.8</v>
      </c>
      <c r="F230" s="4">
        <f>ROUNDUP(B230-(B230*46/100),0)</f>
        <v>79</v>
      </c>
    </row>
    <row r="231" spans="1:6" x14ac:dyDescent="0.25">
      <c r="A231" s="1" t="s">
        <v>233</v>
      </c>
      <c r="B231" s="2">
        <v>250</v>
      </c>
      <c r="C231" s="3">
        <f>B231-(B231*58/100)</f>
        <v>105</v>
      </c>
      <c r="D231" s="3">
        <f>B231-(B231*59/100)</f>
        <v>102.5</v>
      </c>
      <c r="E231" s="4">
        <f>B231-(B231*56/100)</f>
        <v>110</v>
      </c>
      <c r="F231" s="4">
        <f>ROUNDUP(B231-(B231*46/100),0)</f>
        <v>135</v>
      </c>
    </row>
    <row r="232" spans="1:6" x14ac:dyDescent="0.25">
      <c r="A232" s="1" t="s">
        <v>234</v>
      </c>
      <c r="B232" s="2">
        <v>925</v>
      </c>
      <c r="C232" s="3">
        <f>B232-(B232*58/100)</f>
        <v>388.5</v>
      </c>
      <c r="D232" s="3">
        <f>B232-(B232*59/100)</f>
        <v>379.25</v>
      </c>
      <c r="E232" s="4">
        <f>B232-(B232*56/100)</f>
        <v>407</v>
      </c>
      <c r="F232" s="4">
        <f>ROUNDUP(B232-(B232*46/100),0)</f>
        <v>500</v>
      </c>
    </row>
    <row r="233" spans="1:6" x14ac:dyDescent="0.25">
      <c r="A233" s="1" t="s">
        <v>235</v>
      </c>
      <c r="B233" s="2">
        <v>1665</v>
      </c>
      <c r="C233" s="3">
        <f>B233-(B233*58/100)</f>
        <v>699.3</v>
      </c>
      <c r="D233" s="3">
        <f>B233-(B233*59/100)</f>
        <v>682.65</v>
      </c>
      <c r="E233" s="4">
        <f>B233-(B233*56/100)</f>
        <v>732.6</v>
      </c>
      <c r="F233" s="4">
        <f>ROUNDUP(B233-(B233*46/100),0)</f>
        <v>900</v>
      </c>
    </row>
    <row r="234" spans="1:6" x14ac:dyDescent="0.25">
      <c r="A234" s="1" t="s">
        <v>236</v>
      </c>
      <c r="B234" s="2">
        <v>84</v>
      </c>
      <c r="C234" s="3">
        <f t="shared" si="12"/>
        <v>35.28</v>
      </c>
      <c r="D234" s="3">
        <f t="shared" si="13"/>
        <v>34.44</v>
      </c>
      <c r="E234" s="4">
        <f t="shared" si="14"/>
        <v>36.96</v>
      </c>
      <c r="F234" s="4">
        <f t="shared" si="15"/>
        <v>46</v>
      </c>
    </row>
    <row r="235" spans="1:6" x14ac:dyDescent="0.25">
      <c r="A235" s="1" t="s">
        <v>237</v>
      </c>
      <c r="B235" s="2">
        <v>84</v>
      </c>
      <c r="C235" s="3">
        <f t="shared" si="12"/>
        <v>35.28</v>
      </c>
      <c r="D235" s="3">
        <f t="shared" si="13"/>
        <v>34.44</v>
      </c>
      <c r="E235" s="4">
        <f t="shared" si="14"/>
        <v>36.96</v>
      </c>
      <c r="F235" s="4">
        <f t="shared" si="15"/>
        <v>46</v>
      </c>
    </row>
    <row r="236" spans="1:6" x14ac:dyDescent="0.25">
      <c r="A236" s="1" t="s">
        <v>238</v>
      </c>
      <c r="B236" s="2">
        <v>72.5</v>
      </c>
      <c r="C236" s="3">
        <f t="shared" si="12"/>
        <v>30.450000000000003</v>
      </c>
      <c r="D236" s="3">
        <f t="shared" si="13"/>
        <v>29.725000000000001</v>
      </c>
      <c r="E236" s="4">
        <f t="shared" si="14"/>
        <v>31.9</v>
      </c>
      <c r="F236" s="4">
        <f t="shared" si="15"/>
        <v>40</v>
      </c>
    </row>
    <row r="237" spans="1:6" x14ac:dyDescent="0.25">
      <c r="A237" s="1" t="s">
        <v>239</v>
      </c>
      <c r="B237" s="2">
        <v>72.5</v>
      </c>
      <c r="C237" s="3">
        <f t="shared" si="12"/>
        <v>30.450000000000003</v>
      </c>
      <c r="D237" s="3">
        <f t="shared" si="13"/>
        <v>29.725000000000001</v>
      </c>
      <c r="E237" s="4">
        <f t="shared" si="14"/>
        <v>31.9</v>
      </c>
      <c r="F237" s="4">
        <f t="shared" si="15"/>
        <v>40</v>
      </c>
    </row>
    <row r="238" spans="1:6" x14ac:dyDescent="0.25">
      <c r="A238" s="1" t="s">
        <v>240</v>
      </c>
      <c r="B238" s="2">
        <v>156</v>
      </c>
      <c r="C238" s="3">
        <f t="shared" si="12"/>
        <v>65.52</v>
      </c>
      <c r="D238" s="3">
        <f t="shared" si="13"/>
        <v>63.959999999999994</v>
      </c>
      <c r="E238" s="4">
        <f t="shared" si="14"/>
        <v>68.64</v>
      </c>
      <c r="F238" s="4">
        <f t="shared" si="15"/>
        <v>85</v>
      </c>
    </row>
    <row r="239" spans="1:6" x14ac:dyDescent="0.25">
      <c r="A239" s="1" t="s">
        <v>241</v>
      </c>
      <c r="B239" s="2">
        <v>207</v>
      </c>
      <c r="C239" s="3">
        <f t="shared" si="12"/>
        <v>86.94</v>
      </c>
      <c r="D239" s="3">
        <f t="shared" si="13"/>
        <v>84.87</v>
      </c>
      <c r="E239" s="4">
        <f t="shared" si="14"/>
        <v>91.08</v>
      </c>
      <c r="F239" s="4">
        <f t="shared" si="15"/>
        <v>112</v>
      </c>
    </row>
    <row r="240" spans="1:6" x14ac:dyDescent="0.25">
      <c r="A240" s="1" t="s">
        <v>242</v>
      </c>
      <c r="B240" s="2">
        <v>233</v>
      </c>
      <c r="C240" s="3">
        <f t="shared" si="12"/>
        <v>97.860000000000014</v>
      </c>
      <c r="D240" s="3">
        <f t="shared" si="13"/>
        <v>95.53</v>
      </c>
      <c r="E240" s="4">
        <f t="shared" si="14"/>
        <v>102.52000000000001</v>
      </c>
      <c r="F240" s="4">
        <f t="shared" si="15"/>
        <v>126</v>
      </c>
    </row>
    <row r="241" spans="1:6" x14ac:dyDescent="0.25">
      <c r="A241" s="1" t="s">
        <v>243</v>
      </c>
      <c r="B241" s="2">
        <v>292</v>
      </c>
      <c r="C241" s="3">
        <f t="shared" si="12"/>
        <v>122.63999999999999</v>
      </c>
      <c r="D241" s="3">
        <f t="shared" si="13"/>
        <v>119.72</v>
      </c>
      <c r="E241" s="4">
        <f t="shared" si="14"/>
        <v>128.47999999999999</v>
      </c>
      <c r="F241" s="4">
        <f t="shared" si="15"/>
        <v>158</v>
      </c>
    </row>
    <row r="242" spans="1:6" x14ac:dyDescent="0.25">
      <c r="A242" s="1" t="s">
        <v>244</v>
      </c>
      <c r="B242" s="2">
        <v>435</v>
      </c>
      <c r="C242" s="3">
        <f t="shared" si="12"/>
        <v>182.7</v>
      </c>
      <c r="D242" s="3">
        <f t="shared" si="13"/>
        <v>178.35000000000002</v>
      </c>
      <c r="E242" s="4">
        <f t="shared" si="14"/>
        <v>191.4</v>
      </c>
      <c r="F242" s="4">
        <f t="shared" si="15"/>
        <v>235</v>
      </c>
    </row>
    <row r="243" spans="1:6" x14ac:dyDescent="0.25">
      <c r="A243" s="1" t="s">
        <v>245</v>
      </c>
      <c r="B243" s="2">
        <v>454</v>
      </c>
      <c r="C243" s="3">
        <f t="shared" si="12"/>
        <v>190.68</v>
      </c>
      <c r="D243" s="3">
        <f t="shared" si="13"/>
        <v>186.14</v>
      </c>
      <c r="E243" s="4">
        <f t="shared" si="14"/>
        <v>199.76</v>
      </c>
      <c r="F243" s="4">
        <f t="shared" si="15"/>
        <v>246</v>
      </c>
    </row>
    <row r="244" spans="1:6" x14ac:dyDescent="0.25">
      <c r="A244" s="1" t="s">
        <v>246</v>
      </c>
      <c r="B244" s="2">
        <v>486</v>
      </c>
      <c r="C244" s="3">
        <f t="shared" si="12"/>
        <v>204.12</v>
      </c>
      <c r="D244" s="3">
        <f t="shared" si="13"/>
        <v>199.26</v>
      </c>
      <c r="E244" s="4">
        <f t="shared" si="14"/>
        <v>213.83999999999997</v>
      </c>
      <c r="F244" s="4">
        <f t="shared" si="15"/>
        <v>263</v>
      </c>
    </row>
    <row r="245" spans="1:6" x14ac:dyDescent="0.25">
      <c r="A245" s="1" t="s">
        <v>247</v>
      </c>
      <c r="B245" s="2">
        <v>474</v>
      </c>
      <c r="C245" s="3">
        <f t="shared" si="12"/>
        <v>199.07999999999998</v>
      </c>
      <c r="D245" s="3">
        <f t="shared" si="13"/>
        <v>194.33999999999997</v>
      </c>
      <c r="E245" s="4">
        <f t="shared" si="14"/>
        <v>208.56</v>
      </c>
      <c r="F245" s="4">
        <f t="shared" si="15"/>
        <v>256</v>
      </c>
    </row>
    <row r="246" spans="1:6" x14ac:dyDescent="0.25">
      <c r="A246" s="1" t="s">
        <v>248</v>
      </c>
      <c r="B246" s="2">
        <v>500</v>
      </c>
      <c r="C246" s="3">
        <f t="shared" si="12"/>
        <v>210</v>
      </c>
      <c r="D246" s="3">
        <f t="shared" si="13"/>
        <v>205</v>
      </c>
      <c r="E246" s="4">
        <f t="shared" si="14"/>
        <v>220</v>
      </c>
      <c r="F246" s="4">
        <f t="shared" si="15"/>
        <v>270</v>
      </c>
    </row>
    <row r="247" spans="1:6" x14ac:dyDescent="0.25">
      <c r="A247" s="1" t="s">
        <v>249</v>
      </c>
      <c r="B247" s="2">
        <v>566</v>
      </c>
      <c r="C247" s="3">
        <f t="shared" si="12"/>
        <v>237.72000000000003</v>
      </c>
      <c r="D247" s="3">
        <f t="shared" si="13"/>
        <v>232.06</v>
      </c>
      <c r="E247" s="4">
        <f t="shared" si="14"/>
        <v>249.04000000000002</v>
      </c>
      <c r="F247" s="4">
        <f t="shared" si="15"/>
        <v>306</v>
      </c>
    </row>
    <row r="248" spans="1:6" x14ac:dyDescent="0.25">
      <c r="A248" s="1" t="s">
        <v>250</v>
      </c>
      <c r="B248" s="2">
        <v>1290</v>
      </c>
      <c r="C248" s="3">
        <f t="shared" si="12"/>
        <v>541.79999999999995</v>
      </c>
      <c r="D248" s="3">
        <f t="shared" si="13"/>
        <v>528.9</v>
      </c>
      <c r="E248" s="4">
        <f t="shared" si="14"/>
        <v>567.6</v>
      </c>
      <c r="F248" s="4">
        <f t="shared" si="15"/>
        <v>697</v>
      </c>
    </row>
    <row r="249" spans="1:6" x14ac:dyDescent="0.25">
      <c r="A249" s="1" t="s">
        <v>251</v>
      </c>
      <c r="B249" s="2">
        <v>638</v>
      </c>
      <c r="C249" s="3">
        <f t="shared" si="12"/>
        <v>267.95999999999998</v>
      </c>
      <c r="D249" s="3">
        <f t="shared" si="13"/>
        <v>261.58</v>
      </c>
      <c r="E249" s="4">
        <f t="shared" si="14"/>
        <v>280.72000000000003</v>
      </c>
      <c r="F249" s="4">
        <f t="shared" si="15"/>
        <v>345</v>
      </c>
    </row>
    <row r="250" spans="1:6" x14ac:dyDescent="0.25">
      <c r="A250" s="1" t="s">
        <v>252</v>
      </c>
      <c r="B250" s="2">
        <v>985</v>
      </c>
      <c r="C250" s="3">
        <f t="shared" si="12"/>
        <v>413.70000000000005</v>
      </c>
      <c r="D250" s="3">
        <f t="shared" si="13"/>
        <v>403.85</v>
      </c>
      <c r="E250" s="4">
        <f t="shared" si="14"/>
        <v>433.4</v>
      </c>
      <c r="F250" s="4">
        <f t="shared" si="15"/>
        <v>532</v>
      </c>
    </row>
    <row r="251" spans="1:6" x14ac:dyDescent="0.25">
      <c r="A251" s="1" t="s">
        <v>253</v>
      </c>
      <c r="B251" s="2">
        <v>249</v>
      </c>
      <c r="C251" s="3">
        <f t="shared" si="12"/>
        <v>104.58000000000001</v>
      </c>
      <c r="D251" s="3">
        <f t="shared" si="13"/>
        <v>102.09</v>
      </c>
      <c r="E251" s="4">
        <f t="shared" si="14"/>
        <v>109.56</v>
      </c>
      <c r="F251" s="4">
        <f t="shared" si="15"/>
        <v>135</v>
      </c>
    </row>
    <row r="252" spans="1:6" x14ac:dyDescent="0.25">
      <c r="A252" s="1" t="s">
        <v>254</v>
      </c>
      <c r="B252" s="2">
        <v>343</v>
      </c>
      <c r="C252" s="3">
        <f t="shared" si="12"/>
        <v>144.06</v>
      </c>
      <c r="D252" s="3">
        <f t="shared" si="13"/>
        <v>140.63</v>
      </c>
      <c r="E252" s="4">
        <f t="shared" si="14"/>
        <v>150.91999999999999</v>
      </c>
      <c r="F252" s="4">
        <f t="shared" si="15"/>
        <v>186</v>
      </c>
    </row>
    <row r="253" spans="1:6" x14ac:dyDescent="0.25">
      <c r="A253" s="1" t="s">
        <v>255</v>
      </c>
      <c r="B253" s="2">
        <v>469</v>
      </c>
      <c r="C253" s="3">
        <f t="shared" si="12"/>
        <v>196.98000000000002</v>
      </c>
      <c r="D253" s="3">
        <f t="shared" si="13"/>
        <v>192.29000000000002</v>
      </c>
      <c r="E253" s="4">
        <f t="shared" si="14"/>
        <v>206.36</v>
      </c>
      <c r="F253" s="4">
        <f t="shared" si="15"/>
        <v>254</v>
      </c>
    </row>
    <row r="254" spans="1:6" x14ac:dyDescent="0.25">
      <c r="A254" s="1" t="s">
        <v>256</v>
      </c>
      <c r="B254" s="2">
        <v>700</v>
      </c>
      <c r="C254" s="3">
        <f t="shared" si="12"/>
        <v>294</v>
      </c>
      <c r="D254" s="3">
        <f t="shared" si="13"/>
        <v>287</v>
      </c>
      <c r="E254" s="4">
        <f t="shared" si="14"/>
        <v>308</v>
      </c>
      <c r="F254" s="4">
        <f t="shared" si="15"/>
        <v>378</v>
      </c>
    </row>
    <row r="255" spans="1:6" x14ac:dyDescent="0.25">
      <c r="A255" s="1" t="s">
        <v>257</v>
      </c>
      <c r="B255" s="2">
        <v>838</v>
      </c>
      <c r="C255" s="3">
        <f t="shared" si="12"/>
        <v>351.96</v>
      </c>
      <c r="D255" s="3">
        <f t="shared" si="13"/>
        <v>343.58</v>
      </c>
      <c r="E255" s="4">
        <f t="shared" si="14"/>
        <v>368.72</v>
      </c>
      <c r="F255" s="4">
        <f t="shared" si="15"/>
        <v>453</v>
      </c>
    </row>
    <row r="256" spans="1:6" x14ac:dyDescent="0.25">
      <c r="A256" s="1" t="s">
        <v>258</v>
      </c>
      <c r="B256" s="2">
        <v>1143</v>
      </c>
      <c r="C256" s="3">
        <f t="shared" si="12"/>
        <v>480.05999999999995</v>
      </c>
      <c r="D256" s="3">
        <f t="shared" si="13"/>
        <v>468.63</v>
      </c>
      <c r="E256" s="4">
        <f t="shared" si="14"/>
        <v>502.91999999999996</v>
      </c>
      <c r="F256" s="4">
        <f t="shared" si="15"/>
        <v>618</v>
      </c>
    </row>
    <row r="257" spans="1:6" x14ac:dyDescent="0.25">
      <c r="A257" s="1" t="s">
        <v>259</v>
      </c>
      <c r="B257" s="2">
        <v>531</v>
      </c>
      <c r="C257" s="3">
        <f t="shared" si="12"/>
        <v>223.01999999999998</v>
      </c>
      <c r="D257" s="3">
        <f t="shared" si="13"/>
        <v>217.70999999999998</v>
      </c>
      <c r="E257" s="4">
        <f t="shared" si="14"/>
        <v>233.64</v>
      </c>
      <c r="F257" s="4">
        <f t="shared" si="15"/>
        <v>287</v>
      </c>
    </row>
    <row r="258" spans="1:6" x14ac:dyDescent="0.25">
      <c r="A258" s="1" t="s">
        <v>260</v>
      </c>
      <c r="B258" s="2">
        <v>732</v>
      </c>
      <c r="C258" s="3">
        <f t="shared" si="12"/>
        <v>307.44</v>
      </c>
      <c r="D258" s="3">
        <f t="shared" si="13"/>
        <v>300.12</v>
      </c>
      <c r="E258" s="4">
        <f t="shared" si="14"/>
        <v>322.08</v>
      </c>
      <c r="F258" s="4">
        <f t="shared" si="15"/>
        <v>396</v>
      </c>
    </row>
    <row r="259" spans="1:6" x14ac:dyDescent="0.25">
      <c r="A259" s="1" t="s">
        <v>261</v>
      </c>
      <c r="B259" s="2">
        <v>846</v>
      </c>
      <c r="C259" s="3">
        <f t="shared" si="12"/>
        <v>355.32</v>
      </c>
      <c r="D259" s="3">
        <f t="shared" si="13"/>
        <v>346.86</v>
      </c>
      <c r="E259" s="4">
        <f t="shared" si="14"/>
        <v>372.24</v>
      </c>
      <c r="F259" s="4">
        <f t="shared" si="15"/>
        <v>457</v>
      </c>
    </row>
    <row r="260" spans="1:6" x14ac:dyDescent="0.25">
      <c r="A260" s="1" t="s">
        <v>262</v>
      </c>
      <c r="B260" s="2">
        <v>190</v>
      </c>
      <c r="C260" s="3">
        <f>B260-(B260*58/100)</f>
        <v>79.8</v>
      </c>
      <c r="D260" s="3">
        <f>B260-(B260*59/100)</f>
        <v>77.900000000000006</v>
      </c>
      <c r="E260" s="4">
        <f>B260-(B260*56/100)</f>
        <v>83.6</v>
      </c>
      <c r="F260" s="4">
        <f>ROUNDUP(B260-(B260*46/100),0)</f>
        <v>103</v>
      </c>
    </row>
    <row r="261" spans="1:6" x14ac:dyDescent="0.25">
      <c r="A261" s="1" t="s">
        <v>263</v>
      </c>
      <c r="B261" s="2">
        <v>402</v>
      </c>
      <c r="C261" s="3">
        <f>B261-(B261*58/100)</f>
        <v>168.84</v>
      </c>
      <c r="D261" s="3">
        <f>B261-(B261*59/100)</f>
        <v>164.82</v>
      </c>
      <c r="E261" s="4">
        <f>B261-(B261*56/100)</f>
        <v>176.88</v>
      </c>
      <c r="F261" s="4">
        <f>ROUNDUP(B261-(B261*46/100),0)</f>
        <v>218</v>
      </c>
    </row>
    <row r="262" spans="1:6" x14ac:dyDescent="0.25">
      <c r="A262" s="1" t="s">
        <v>264</v>
      </c>
      <c r="B262" s="2">
        <v>155</v>
      </c>
      <c r="C262" s="3">
        <f t="shared" si="12"/>
        <v>65.099999999999994</v>
      </c>
      <c r="D262" s="3">
        <f t="shared" si="13"/>
        <v>63.55</v>
      </c>
      <c r="E262" s="4">
        <f t="shared" si="14"/>
        <v>68.2</v>
      </c>
      <c r="F262" s="4">
        <f t="shared" si="15"/>
        <v>84</v>
      </c>
    </row>
    <row r="263" spans="1:6" x14ac:dyDescent="0.25">
      <c r="A263" s="1" t="s">
        <v>265</v>
      </c>
      <c r="B263" s="2">
        <v>180</v>
      </c>
      <c r="C263" s="3">
        <f t="shared" si="12"/>
        <v>75.599999999999994</v>
      </c>
      <c r="D263" s="3">
        <f t="shared" si="13"/>
        <v>73.8</v>
      </c>
      <c r="E263" s="4">
        <f t="shared" si="14"/>
        <v>79.2</v>
      </c>
      <c r="F263" s="4">
        <f t="shared" si="15"/>
        <v>98</v>
      </c>
    </row>
    <row r="264" spans="1:6" x14ac:dyDescent="0.25">
      <c r="A264" s="1" t="s">
        <v>266</v>
      </c>
      <c r="B264" s="2">
        <v>32</v>
      </c>
      <c r="C264" s="3">
        <f t="shared" si="12"/>
        <v>13.440000000000001</v>
      </c>
      <c r="D264" s="3">
        <f t="shared" si="13"/>
        <v>13.120000000000001</v>
      </c>
      <c r="E264" s="4">
        <f t="shared" si="14"/>
        <v>14.079999999999998</v>
      </c>
      <c r="F264" s="4">
        <f t="shared" si="15"/>
        <v>18</v>
      </c>
    </row>
    <row r="265" spans="1:6" x14ac:dyDescent="0.25">
      <c r="A265" s="1" t="s">
        <v>267</v>
      </c>
      <c r="B265" s="2">
        <v>214</v>
      </c>
      <c r="C265" s="3">
        <f t="shared" si="12"/>
        <v>89.88</v>
      </c>
      <c r="D265" s="3">
        <f t="shared" si="13"/>
        <v>87.74</v>
      </c>
      <c r="E265" s="4">
        <f t="shared" si="14"/>
        <v>94.16</v>
      </c>
      <c r="F265" s="4">
        <f t="shared" si="15"/>
        <v>116</v>
      </c>
    </row>
    <row r="266" spans="1:6" x14ac:dyDescent="0.25">
      <c r="A266" s="1" t="s">
        <v>268</v>
      </c>
      <c r="B266" s="2">
        <v>255</v>
      </c>
      <c r="C266" s="3">
        <f t="shared" si="12"/>
        <v>107.1</v>
      </c>
      <c r="D266" s="3">
        <f t="shared" si="13"/>
        <v>104.55000000000001</v>
      </c>
      <c r="E266" s="4">
        <f t="shared" si="14"/>
        <v>112.19999999999999</v>
      </c>
      <c r="F266" s="4">
        <f t="shared" si="15"/>
        <v>138</v>
      </c>
    </row>
    <row r="267" spans="1:6" x14ac:dyDescent="0.25">
      <c r="A267" s="1" t="s">
        <v>269</v>
      </c>
      <c r="B267" s="2">
        <v>240</v>
      </c>
      <c r="C267" s="3">
        <f t="shared" si="12"/>
        <v>100.80000000000001</v>
      </c>
      <c r="D267" s="3">
        <f t="shared" si="13"/>
        <v>98.4</v>
      </c>
      <c r="E267" s="4">
        <f t="shared" si="14"/>
        <v>105.6</v>
      </c>
      <c r="F267" s="4">
        <f t="shared" si="15"/>
        <v>130</v>
      </c>
    </row>
    <row r="268" spans="1:6" x14ac:dyDescent="0.25">
      <c r="A268" s="1" t="s">
        <v>270</v>
      </c>
      <c r="B268" s="2">
        <v>261</v>
      </c>
      <c r="C268" s="3">
        <f t="shared" si="12"/>
        <v>109.62</v>
      </c>
      <c r="D268" s="3">
        <f t="shared" si="13"/>
        <v>107.00999999999999</v>
      </c>
      <c r="E268" s="4">
        <f t="shared" si="14"/>
        <v>114.84</v>
      </c>
      <c r="F268" s="4">
        <f t="shared" si="15"/>
        <v>141</v>
      </c>
    </row>
    <row r="269" spans="1:6" x14ac:dyDescent="0.25">
      <c r="A269" s="1" t="s">
        <v>271</v>
      </c>
      <c r="B269" s="2">
        <v>211</v>
      </c>
      <c r="C269" s="3">
        <f t="shared" si="12"/>
        <v>88.62</v>
      </c>
      <c r="D269" s="3">
        <f t="shared" si="13"/>
        <v>86.51</v>
      </c>
      <c r="E269" s="4">
        <f t="shared" si="14"/>
        <v>92.84</v>
      </c>
      <c r="F269" s="4">
        <f t="shared" si="15"/>
        <v>114</v>
      </c>
    </row>
    <row r="270" spans="1:6" x14ac:dyDescent="0.25">
      <c r="A270" s="1" t="s">
        <v>272</v>
      </c>
      <c r="B270" s="2">
        <v>480</v>
      </c>
      <c r="C270" s="3">
        <f t="shared" si="12"/>
        <v>201.60000000000002</v>
      </c>
      <c r="D270" s="3">
        <f t="shared" si="13"/>
        <v>196.8</v>
      </c>
      <c r="E270" s="4">
        <f t="shared" si="14"/>
        <v>211.2</v>
      </c>
      <c r="F270" s="4">
        <f t="shared" si="15"/>
        <v>260</v>
      </c>
    </row>
    <row r="271" spans="1:6" x14ac:dyDescent="0.25">
      <c r="A271" s="1" t="s">
        <v>273</v>
      </c>
      <c r="B271" s="2">
        <v>865</v>
      </c>
      <c r="C271" s="3">
        <f t="shared" si="12"/>
        <v>363.3</v>
      </c>
      <c r="D271" s="3">
        <f t="shared" si="13"/>
        <v>354.65</v>
      </c>
      <c r="E271" s="4">
        <f t="shared" si="14"/>
        <v>380.6</v>
      </c>
      <c r="F271" s="4">
        <f t="shared" si="15"/>
        <v>468</v>
      </c>
    </row>
    <row r="272" spans="1:6" x14ac:dyDescent="0.25">
      <c r="A272" s="1" t="s">
        <v>274</v>
      </c>
      <c r="B272" s="2">
        <v>1300</v>
      </c>
      <c r="C272" s="3">
        <f t="shared" si="12"/>
        <v>546</v>
      </c>
      <c r="D272" s="3">
        <f t="shared" si="13"/>
        <v>533</v>
      </c>
      <c r="E272" s="4">
        <f t="shared" si="14"/>
        <v>572</v>
      </c>
      <c r="F272" s="4">
        <f t="shared" si="15"/>
        <v>702</v>
      </c>
    </row>
    <row r="273" spans="1:6" x14ac:dyDescent="0.25">
      <c r="A273" s="1" t="s">
        <v>275</v>
      </c>
      <c r="B273" s="2">
        <v>435</v>
      </c>
      <c r="C273" s="3">
        <f t="shared" si="12"/>
        <v>182.7</v>
      </c>
      <c r="D273" s="3">
        <f t="shared" si="13"/>
        <v>178.35000000000002</v>
      </c>
      <c r="E273" s="4">
        <f t="shared" si="14"/>
        <v>191.4</v>
      </c>
      <c r="F273" s="4">
        <f t="shared" si="15"/>
        <v>235</v>
      </c>
    </row>
    <row r="274" spans="1:6" x14ac:dyDescent="0.25">
      <c r="A274" s="1" t="s">
        <v>276</v>
      </c>
      <c r="B274" s="2">
        <v>500</v>
      </c>
      <c r="C274" s="3">
        <f t="shared" si="12"/>
        <v>210</v>
      </c>
      <c r="D274" s="3">
        <f t="shared" si="13"/>
        <v>205</v>
      </c>
      <c r="E274" s="4">
        <f t="shared" si="14"/>
        <v>220</v>
      </c>
      <c r="F274" s="4">
        <f t="shared" si="15"/>
        <v>270</v>
      </c>
    </row>
    <row r="275" spans="1:6" x14ac:dyDescent="0.25">
      <c r="A275" s="1" t="s">
        <v>277</v>
      </c>
      <c r="B275" s="2">
        <v>805</v>
      </c>
      <c r="C275" s="3">
        <f t="shared" si="12"/>
        <v>338.1</v>
      </c>
      <c r="D275" s="3">
        <f t="shared" si="13"/>
        <v>330.05</v>
      </c>
      <c r="E275" s="4">
        <f t="shared" si="14"/>
        <v>354.2</v>
      </c>
      <c r="F275" s="4">
        <f t="shared" si="15"/>
        <v>435</v>
      </c>
    </row>
    <row r="276" spans="1:6" x14ac:dyDescent="0.25">
      <c r="A276" s="1" t="s">
        <v>278</v>
      </c>
      <c r="B276" s="2">
        <v>275</v>
      </c>
      <c r="C276" s="3">
        <f>B276-(B276*58/100)</f>
        <v>115.5</v>
      </c>
      <c r="D276" s="3">
        <f>B276-(B276*59/100)</f>
        <v>112.75</v>
      </c>
      <c r="E276" s="4">
        <f>B276-(B276*56/100)</f>
        <v>121</v>
      </c>
      <c r="F276" s="4">
        <f>ROUNDUP(B276-(B276*46/100),0)</f>
        <v>149</v>
      </c>
    </row>
    <row r="277" spans="1:6" x14ac:dyDescent="0.25">
      <c r="A277" s="1" t="s">
        <v>279</v>
      </c>
      <c r="B277" s="2">
        <v>910</v>
      </c>
      <c r="C277" s="3">
        <f t="shared" si="12"/>
        <v>382.20000000000005</v>
      </c>
      <c r="D277" s="3">
        <f t="shared" si="13"/>
        <v>373.1</v>
      </c>
      <c r="E277" s="4">
        <f t="shared" si="14"/>
        <v>400.4</v>
      </c>
      <c r="F277" s="4">
        <f t="shared" si="15"/>
        <v>492</v>
      </c>
    </row>
    <row r="278" spans="1:6" x14ac:dyDescent="0.25">
      <c r="A278" s="1" t="s">
        <v>280</v>
      </c>
      <c r="B278" s="2">
        <v>1475</v>
      </c>
      <c r="C278" s="3">
        <f t="shared" si="12"/>
        <v>619.5</v>
      </c>
      <c r="D278" s="3">
        <f t="shared" si="13"/>
        <v>604.75</v>
      </c>
      <c r="E278" s="4">
        <f t="shared" si="14"/>
        <v>649</v>
      </c>
      <c r="F278" s="4">
        <f t="shared" si="15"/>
        <v>797</v>
      </c>
    </row>
    <row r="279" spans="1:6" x14ac:dyDescent="0.25">
      <c r="A279" s="1" t="s">
        <v>281</v>
      </c>
      <c r="B279" s="2">
        <v>805</v>
      </c>
      <c r="C279" s="3">
        <f t="shared" si="12"/>
        <v>338.1</v>
      </c>
      <c r="D279" s="3">
        <f t="shared" si="13"/>
        <v>330.05</v>
      </c>
      <c r="E279" s="4">
        <f>B279-(B279*56/100)</f>
        <v>354.2</v>
      </c>
      <c r="F279" s="4">
        <f t="shared" si="15"/>
        <v>435</v>
      </c>
    </row>
    <row r="280" spans="1:6" x14ac:dyDescent="0.25">
      <c r="A280" s="1" t="s">
        <v>282</v>
      </c>
      <c r="B280" s="2">
        <v>1950</v>
      </c>
      <c r="C280" s="3">
        <f t="shared" si="12"/>
        <v>819</v>
      </c>
      <c r="D280" s="3">
        <f t="shared" si="13"/>
        <v>799.5</v>
      </c>
      <c r="E280" s="4">
        <f t="shared" ref="E280:E343" si="16">B280-(B280*56/100)</f>
        <v>858</v>
      </c>
      <c r="F280" s="4">
        <f t="shared" si="15"/>
        <v>1053</v>
      </c>
    </row>
    <row r="281" spans="1:6" x14ac:dyDescent="0.25">
      <c r="A281" s="1" t="s">
        <v>283</v>
      </c>
      <c r="B281" s="2">
        <v>261</v>
      </c>
      <c r="C281" s="3">
        <f t="shared" si="12"/>
        <v>109.62</v>
      </c>
      <c r="D281" s="3">
        <f t="shared" si="13"/>
        <v>107.00999999999999</v>
      </c>
      <c r="E281" s="4">
        <f t="shared" si="16"/>
        <v>114.84</v>
      </c>
      <c r="F281" s="4">
        <f t="shared" si="15"/>
        <v>141</v>
      </c>
    </row>
    <row r="282" spans="1:6" x14ac:dyDescent="0.25">
      <c r="A282" s="1" t="s">
        <v>284</v>
      </c>
      <c r="B282" s="2">
        <v>282</v>
      </c>
      <c r="C282" s="3">
        <f t="shared" si="12"/>
        <v>118.44</v>
      </c>
      <c r="D282" s="3">
        <f t="shared" si="13"/>
        <v>115.62</v>
      </c>
      <c r="E282" s="4">
        <f t="shared" si="16"/>
        <v>124.08000000000001</v>
      </c>
      <c r="F282" s="4">
        <f t="shared" si="15"/>
        <v>153</v>
      </c>
    </row>
    <row r="283" spans="1:6" x14ac:dyDescent="0.25">
      <c r="A283" s="1" t="s">
        <v>285</v>
      </c>
      <c r="B283" s="2">
        <v>340</v>
      </c>
      <c r="C283" s="3">
        <f t="shared" si="12"/>
        <v>142.80000000000001</v>
      </c>
      <c r="D283" s="3">
        <f t="shared" si="13"/>
        <v>139.4</v>
      </c>
      <c r="E283" s="4">
        <f t="shared" si="16"/>
        <v>149.6</v>
      </c>
      <c r="F283" s="4">
        <f t="shared" si="15"/>
        <v>184</v>
      </c>
    </row>
    <row r="284" spans="1:6" x14ac:dyDescent="0.25">
      <c r="A284" s="1" t="s">
        <v>286</v>
      </c>
      <c r="B284" s="2">
        <v>445</v>
      </c>
      <c r="C284" s="3">
        <f t="shared" si="12"/>
        <v>186.89999999999998</v>
      </c>
      <c r="D284" s="3">
        <f t="shared" si="13"/>
        <v>182.45</v>
      </c>
      <c r="E284" s="4">
        <f t="shared" si="16"/>
        <v>195.8</v>
      </c>
      <c r="F284" s="4">
        <f t="shared" si="15"/>
        <v>241</v>
      </c>
    </row>
    <row r="285" spans="1:6" x14ac:dyDescent="0.25">
      <c r="A285" s="1" t="s">
        <v>287</v>
      </c>
      <c r="B285" s="2">
        <v>2414</v>
      </c>
      <c r="C285" s="3">
        <f t="shared" si="12"/>
        <v>1013.8800000000001</v>
      </c>
      <c r="D285" s="3">
        <f t="shared" si="13"/>
        <v>989.74</v>
      </c>
      <c r="E285" s="4">
        <f t="shared" si="16"/>
        <v>1062.1600000000001</v>
      </c>
      <c r="F285" s="4">
        <f t="shared" si="15"/>
        <v>1304</v>
      </c>
    </row>
    <row r="286" spans="1:6" x14ac:dyDescent="0.25">
      <c r="A286" s="1" t="s">
        <v>288</v>
      </c>
      <c r="B286" s="2">
        <v>300</v>
      </c>
      <c r="C286" s="3">
        <f t="shared" si="12"/>
        <v>126</v>
      </c>
      <c r="D286" s="3">
        <f t="shared" si="13"/>
        <v>123</v>
      </c>
      <c r="E286" s="4">
        <f t="shared" si="16"/>
        <v>132</v>
      </c>
      <c r="F286" s="4">
        <f t="shared" si="15"/>
        <v>162</v>
      </c>
    </row>
    <row r="287" spans="1:6" x14ac:dyDescent="0.25">
      <c r="A287" s="1" t="s">
        <v>289</v>
      </c>
      <c r="B287" s="2">
        <v>275</v>
      </c>
      <c r="C287" s="3">
        <f t="shared" si="12"/>
        <v>115.5</v>
      </c>
      <c r="D287" s="3">
        <f t="shared" si="13"/>
        <v>112.75</v>
      </c>
      <c r="E287" s="4">
        <f t="shared" si="16"/>
        <v>121</v>
      </c>
      <c r="F287" s="4">
        <f t="shared" si="15"/>
        <v>149</v>
      </c>
    </row>
    <row r="288" spans="1:6" x14ac:dyDescent="0.25">
      <c r="A288" s="1" t="s">
        <v>290</v>
      </c>
      <c r="B288" s="2">
        <v>285</v>
      </c>
      <c r="C288" s="3">
        <f t="shared" si="12"/>
        <v>119.69999999999999</v>
      </c>
      <c r="D288" s="3">
        <f t="shared" si="13"/>
        <v>116.85</v>
      </c>
      <c r="E288" s="4">
        <f t="shared" si="16"/>
        <v>125.4</v>
      </c>
      <c r="F288" s="4">
        <f t="shared" si="15"/>
        <v>154</v>
      </c>
    </row>
    <row r="289" spans="1:6" x14ac:dyDescent="0.25">
      <c r="A289" s="1" t="s">
        <v>291</v>
      </c>
      <c r="B289" s="2">
        <v>450</v>
      </c>
      <c r="C289" s="3">
        <f t="shared" ref="C289:C352" si="17">B289-(B289*58/100)</f>
        <v>189</v>
      </c>
      <c r="D289" s="3">
        <f t="shared" ref="D289:D352" si="18">B289-(B289*59/100)</f>
        <v>184.5</v>
      </c>
      <c r="E289" s="4">
        <f t="shared" si="16"/>
        <v>198</v>
      </c>
      <c r="F289" s="4">
        <f t="shared" ref="F289:F352" si="19">ROUNDUP(B289-(B289*46/100),0)</f>
        <v>243</v>
      </c>
    </row>
    <row r="290" spans="1:6" x14ac:dyDescent="0.25">
      <c r="A290" s="1" t="s">
        <v>292</v>
      </c>
      <c r="B290" s="2">
        <v>465</v>
      </c>
      <c r="C290" s="3">
        <f t="shared" si="17"/>
        <v>195.3</v>
      </c>
      <c r="D290" s="3">
        <f t="shared" si="18"/>
        <v>190.64999999999998</v>
      </c>
      <c r="E290" s="4">
        <f t="shared" si="16"/>
        <v>204.60000000000002</v>
      </c>
      <c r="F290" s="4">
        <f t="shared" si="19"/>
        <v>252</v>
      </c>
    </row>
    <row r="291" spans="1:6" x14ac:dyDescent="0.25">
      <c r="A291" s="1" t="s">
        <v>293</v>
      </c>
      <c r="B291" s="2">
        <v>495</v>
      </c>
      <c r="C291" s="3">
        <f t="shared" si="17"/>
        <v>207.89999999999998</v>
      </c>
      <c r="D291" s="3">
        <f t="shared" si="18"/>
        <v>202.95</v>
      </c>
      <c r="E291" s="4">
        <f t="shared" si="16"/>
        <v>217.8</v>
      </c>
      <c r="F291" s="4">
        <f t="shared" si="19"/>
        <v>268</v>
      </c>
    </row>
    <row r="292" spans="1:6" x14ac:dyDescent="0.25">
      <c r="A292" s="1" t="s">
        <v>294</v>
      </c>
      <c r="B292" s="2">
        <v>510</v>
      </c>
      <c r="C292" s="3">
        <f t="shared" si="17"/>
        <v>214.2</v>
      </c>
      <c r="D292" s="3">
        <f t="shared" si="18"/>
        <v>209.10000000000002</v>
      </c>
      <c r="E292" s="4">
        <f t="shared" si="16"/>
        <v>224.39999999999998</v>
      </c>
      <c r="F292" s="4">
        <f t="shared" si="19"/>
        <v>276</v>
      </c>
    </row>
    <row r="293" spans="1:6" x14ac:dyDescent="0.25">
      <c r="A293" s="1" t="s">
        <v>295</v>
      </c>
      <c r="B293" s="2">
        <v>1250</v>
      </c>
      <c r="C293" s="3">
        <f t="shared" si="17"/>
        <v>525</v>
      </c>
      <c r="D293" s="3">
        <f t="shared" si="18"/>
        <v>512.5</v>
      </c>
      <c r="E293" s="4">
        <f t="shared" si="16"/>
        <v>550</v>
      </c>
      <c r="F293" s="4">
        <f t="shared" si="19"/>
        <v>675</v>
      </c>
    </row>
    <row r="294" spans="1:6" x14ac:dyDescent="0.25">
      <c r="A294" s="1" t="s">
        <v>296</v>
      </c>
      <c r="B294" s="2">
        <v>1340</v>
      </c>
      <c r="C294" s="3">
        <f t="shared" si="17"/>
        <v>562.79999999999995</v>
      </c>
      <c r="D294" s="3">
        <f t="shared" si="18"/>
        <v>549.4</v>
      </c>
      <c r="E294" s="4">
        <f t="shared" si="16"/>
        <v>589.6</v>
      </c>
      <c r="F294" s="4">
        <f t="shared" si="19"/>
        <v>724</v>
      </c>
    </row>
    <row r="295" spans="1:6" x14ac:dyDescent="0.25">
      <c r="A295" s="1" t="s">
        <v>297</v>
      </c>
      <c r="B295" s="2">
        <v>1675</v>
      </c>
      <c r="C295" s="3">
        <f t="shared" si="17"/>
        <v>703.5</v>
      </c>
      <c r="D295" s="3">
        <f t="shared" si="18"/>
        <v>686.75</v>
      </c>
      <c r="E295" s="4">
        <f t="shared" si="16"/>
        <v>737</v>
      </c>
      <c r="F295" s="4">
        <f t="shared" si="19"/>
        <v>905</v>
      </c>
    </row>
    <row r="296" spans="1:6" x14ac:dyDescent="0.25">
      <c r="A296" s="1" t="s">
        <v>298</v>
      </c>
      <c r="B296" s="2">
        <v>1765</v>
      </c>
      <c r="C296" s="3">
        <f t="shared" si="17"/>
        <v>741.3</v>
      </c>
      <c r="D296" s="3">
        <f t="shared" si="18"/>
        <v>723.65000000000009</v>
      </c>
      <c r="E296" s="4">
        <f t="shared" si="16"/>
        <v>776.6</v>
      </c>
      <c r="F296" s="4">
        <f t="shared" si="19"/>
        <v>954</v>
      </c>
    </row>
    <row r="297" spans="1:6" x14ac:dyDescent="0.25">
      <c r="A297" s="1" t="s">
        <v>299</v>
      </c>
      <c r="B297" s="2">
        <v>1585</v>
      </c>
      <c r="C297" s="3">
        <f t="shared" si="17"/>
        <v>665.7</v>
      </c>
      <c r="D297" s="3">
        <f t="shared" si="18"/>
        <v>649.85</v>
      </c>
      <c r="E297" s="4">
        <f t="shared" si="16"/>
        <v>697.4</v>
      </c>
      <c r="F297" s="4">
        <f t="shared" si="19"/>
        <v>856</v>
      </c>
    </row>
    <row r="298" spans="1:6" x14ac:dyDescent="0.25">
      <c r="A298" s="1" t="s">
        <v>300</v>
      </c>
      <c r="B298" s="2">
        <v>1630</v>
      </c>
      <c r="C298" s="3">
        <f t="shared" si="17"/>
        <v>684.6</v>
      </c>
      <c r="D298" s="3">
        <f t="shared" si="18"/>
        <v>668.3</v>
      </c>
      <c r="E298" s="4">
        <f t="shared" si="16"/>
        <v>717.2</v>
      </c>
      <c r="F298" s="4">
        <f t="shared" si="19"/>
        <v>881</v>
      </c>
    </row>
    <row r="299" spans="1:6" x14ac:dyDescent="0.25">
      <c r="A299" s="1" t="s">
        <v>301</v>
      </c>
      <c r="B299" s="2">
        <v>1860</v>
      </c>
      <c r="C299" s="3">
        <f t="shared" si="17"/>
        <v>781.2</v>
      </c>
      <c r="D299" s="3">
        <f t="shared" si="18"/>
        <v>762.59999999999991</v>
      </c>
      <c r="E299" s="4">
        <f t="shared" si="16"/>
        <v>818.40000000000009</v>
      </c>
      <c r="F299" s="4">
        <f t="shared" si="19"/>
        <v>1005</v>
      </c>
    </row>
    <row r="300" spans="1:6" x14ac:dyDescent="0.25">
      <c r="A300" s="1" t="s">
        <v>302</v>
      </c>
      <c r="B300" s="2">
        <v>1905</v>
      </c>
      <c r="C300" s="3">
        <f t="shared" si="17"/>
        <v>800.09999999999991</v>
      </c>
      <c r="D300" s="3">
        <f t="shared" si="18"/>
        <v>781.05</v>
      </c>
      <c r="E300" s="4">
        <f t="shared" si="16"/>
        <v>838.2</v>
      </c>
      <c r="F300" s="4">
        <f t="shared" si="19"/>
        <v>1029</v>
      </c>
    </row>
    <row r="301" spans="1:6" x14ac:dyDescent="0.25">
      <c r="A301" s="1" t="s">
        <v>303</v>
      </c>
      <c r="B301" s="2">
        <v>3600</v>
      </c>
      <c r="C301" s="3">
        <f t="shared" si="17"/>
        <v>1512</v>
      </c>
      <c r="D301" s="3">
        <f t="shared" si="18"/>
        <v>1476</v>
      </c>
      <c r="E301" s="4">
        <f t="shared" si="16"/>
        <v>1584</v>
      </c>
      <c r="F301" s="4">
        <f t="shared" si="19"/>
        <v>1944</v>
      </c>
    </row>
    <row r="302" spans="1:6" x14ac:dyDescent="0.25">
      <c r="A302" s="1" t="s">
        <v>304</v>
      </c>
      <c r="B302" s="2">
        <v>965</v>
      </c>
      <c r="C302" s="3">
        <f t="shared" si="17"/>
        <v>405.29999999999995</v>
      </c>
      <c r="D302" s="3">
        <f t="shared" si="18"/>
        <v>395.65</v>
      </c>
      <c r="E302" s="4">
        <f t="shared" si="16"/>
        <v>424.6</v>
      </c>
      <c r="F302" s="4">
        <f t="shared" si="19"/>
        <v>522</v>
      </c>
    </row>
    <row r="303" spans="1:6" x14ac:dyDescent="0.25">
      <c r="A303" s="1" t="s">
        <v>305</v>
      </c>
      <c r="B303" s="2">
        <v>1100</v>
      </c>
      <c r="C303" s="3">
        <f t="shared" si="17"/>
        <v>462</v>
      </c>
      <c r="D303" s="3">
        <f t="shared" si="18"/>
        <v>451</v>
      </c>
      <c r="E303" s="4">
        <f t="shared" si="16"/>
        <v>484</v>
      </c>
      <c r="F303" s="4">
        <f t="shared" si="19"/>
        <v>594</v>
      </c>
    </row>
    <row r="304" spans="1:6" x14ac:dyDescent="0.25">
      <c r="A304" s="1" t="s">
        <v>306</v>
      </c>
      <c r="B304" s="2">
        <v>1230</v>
      </c>
      <c r="C304" s="3">
        <f t="shared" si="17"/>
        <v>516.6</v>
      </c>
      <c r="D304" s="3">
        <f t="shared" si="18"/>
        <v>504.29999999999995</v>
      </c>
      <c r="E304" s="4">
        <f t="shared" si="16"/>
        <v>541.20000000000005</v>
      </c>
      <c r="F304" s="4">
        <f t="shared" si="19"/>
        <v>665</v>
      </c>
    </row>
    <row r="305" spans="1:6" x14ac:dyDescent="0.25">
      <c r="A305" s="1" t="s">
        <v>307</v>
      </c>
      <c r="B305" s="2">
        <v>1365</v>
      </c>
      <c r="C305" s="3">
        <f t="shared" si="17"/>
        <v>573.29999999999995</v>
      </c>
      <c r="D305" s="3">
        <f t="shared" si="18"/>
        <v>559.65</v>
      </c>
      <c r="E305" s="4">
        <f t="shared" si="16"/>
        <v>600.6</v>
      </c>
      <c r="F305" s="4">
        <f t="shared" si="19"/>
        <v>738</v>
      </c>
    </row>
    <row r="306" spans="1:6" x14ac:dyDescent="0.25">
      <c r="A306" s="1" t="s">
        <v>308</v>
      </c>
      <c r="B306" s="2">
        <v>3520</v>
      </c>
      <c r="C306" s="3">
        <f>B306-(B306*58/100)</f>
        <v>1478.4</v>
      </c>
      <c r="D306" s="3">
        <f>B306-(B306*59/100)</f>
        <v>1443.1999999999998</v>
      </c>
      <c r="E306" s="4">
        <f>B306-(B306*56/100)</f>
        <v>1548.8</v>
      </c>
      <c r="F306" s="4">
        <f>ROUNDUP(B306-(B306*46/100),0)</f>
        <v>1901</v>
      </c>
    </row>
    <row r="307" spans="1:6" x14ac:dyDescent="0.25">
      <c r="A307" s="1" t="s">
        <v>309</v>
      </c>
      <c r="B307" s="2">
        <v>390</v>
      </c>
      <c r="C307" s="3">
        <f>B307-(B307*58/100)</f>
        <v>163.80000000000001</v>
      </c>
      <c r="D307" s="3">
        <f>B307-(B307*59/100)</f>
        <v>159.9</v>
      </c>
      <c r="E307" s="4">
        <f>B307-(B307*56/100)</f>
        <v>171.6</v>
      </c>
      <c r="F307" s="4">
        <f>ROUNDUP(B307-(B307*46/100),0)</f>
        <v>211</v>
      </c>
    </row>
    <row r="308" spans="1:6" x14ac:dyDescent="0.25">
      <c r="A308" s="1" t="s">
        <v>310</v>
      </c>
      <c r="B308" s="2">
        <v>1790</v>
      </c>
      <c r="C308" s="3">
        <f t="shared" si="17"/>
        <v>751.8</v>
      </c>
      <c r="D308" s="3">
        <f t="shared" si="18"/>
        <v>733.90000000000009</v>
      </c>
      <c r="E308" s="4">
        <f t="shared" si="16"/>
        <v>787.6</v>
      </c>
      <c r="F308" s="4">
        <f t="shared" si="19"/>
        <v>967</v>
      </c>
    </row>
    <row r="309" spans="1:6" x14ac:dyDescent="0.25">
      <c r="A309" s="1" t="s">
        <v>311</v>
      </c>
      <c r="B309" s="2">
        <v>1565</v>
      </c>
      <c r="C309" s="3">
        <f t="shared" si="17"/>
        <v>657.3</v>
      </c>
      <c r="D309" s="3">
        <f t="shared" si="18"/>
        <v>641.65</v>
      </c>
      <c r="E309" s="4">
        <f t="shared" si="16"/>
        <v>688.6</v>
      </c>
      <c r="F309" s="4">
        <f t="shared" si="19"/>
        <v>846</v>
      </c>
    </row>
    <row r="310" spans="1:6" x14ac:dyDescent="0.25">
      <c r="A310" s="1" t="s">
        <v>312</v>
      </c>
      <c r="B310" s="2">
        <v>2205</v>
      </c>
      <c r="C310" s="3">
        <f t="shared" si="17"/>
        <v>926.09999999999991</v>
      </c>
      <c r="D310" s="3">
        <f t="shared" si="18"/>
        <v>904.05</v>
      </c>
      <c r="E310" s="4">
        <f t="shared" si="16"/>
        <v>970.2</v>
      </c>
      <c r="F310" s="4">
        <f t="shared" si="19"/>
        <v>1191</v>
      </c>
    </row>
    <row r="311" spans="1:6" x14ac:dyDescent="0.25">
      <c r="A311" s="1" t="s">
        <v>313</v>
      </c>
      <c r="B311" s="2">
        <v>1365</v>
      </c>
      <c r="C311" s="3">
        <f t="shared" si="17"/>
        <v>573.29999999999995</v>
      </c>
      <c r="D311" s="3">
        <f t="shared" si="18"/>
        <v>559.65</v>
      </c>
      <c r="E311" s="4">
        <f t="shared" si="16"/>
        <v>600.6</v>
      </c>
      <c r="F311" s="4">
        <f t="shared" si="19"/>
        <v>738</v>
      </c>
    </row>
    <row r="312" spans="1:6" x14ac:dyDescent="0.25">
      <c r="A312" s="1" t="s">
        <v>314</v>
      </c>
      <c r="B312" s="2">
        <v>1915</v>
      </c>
      <c r="C312" s="3">
        <f t="shared" si="17"/>
        <v>804.3</v>
      </c>
      <c r="D312" s="3">
        <f t="shared" si="18"/>
        <v>785.15000000000009</v>
      </c>
      <c r="E312" s="4">
        <f t="shared" si="16"/>
        <v>842.59999999999991</v>
      </c>
      <c r="F312" s="4">
        <f t="shared" si="19"/>
        <v>1035</v>
      </c>
    </row>
    <row r="313" spans="1:6" x14ac:dyDescent="0.25">
      <c r="A313" s="1" t="s">
        <v>315</v>
      </c>
      <c r="B313" s="2">
        <v>1320</v>
      </c>
      <c r="C313" s="3">
        <f t="shared" si="17"/>
        <v>554.4</v>
      </c>
      <c r="D313" s="3">
        <f t="shared" si="18"/>
        <v>541.20000000000005</v>
      </c>
      <c r="E313" s="4">
        <f t="shared" si="16"/>
        <v>580.79999999999995</v>
      </c>
      <c r="F313" s="4">
        <f t="shared" si="19"/>
        <v>713</v>
      </c>
    </row>
    <row r="314" spans="1:6" x14ac:dyDescent="0.25">
      <c r="A314" s="1" t="s">
        <v>316</v>
      </c>
      <c r="B314" s="2">
        <v>1715</v>
      </c>
      <c r="C314" s="3">
        <f t="shared" si="17"/>
        <v>720.3</v>
      </c>
      <c r="D314" s="3">
        <f t="shared" si="18"/>
        <v>703.15</v>
      </c>
      <c r="E314" s="4">
        <f t="shared" si="16"/>
        <v>754.6</v>
      </c>
      <c r="F314" s="4">
        <f t="shared" si="19"/>
        <v>927</v>
      </c>
    </row>
    <row r="315" spans="1:6" x14ac:dyDescent="0.25">
      <c r="A315" s="1" t="s">
        <v>317</v>
      </c>
      <c r="B315" s="2">
        <v>1465</v>
      </c>
      <c r="C315" s="3">
        <f t="shared" si="17"/>
        <v>615.29999999999995</v>
      </c>
      <c r="D315" s="3">
        <f t="shared" si="18"/>
        <v>600.65</v>
      </c>
      <c r="E315" s="4">
        <f t="shared" si="16"/>
        <v>644.6</v>
      </c>
      <c r="F315" s="4">
        <f t="shared" si="19"/>
        <v>792</v>
      </c>
    </row>
    <row r="316" spans="1:6" x14ac:dyDescent="0.25">
      <c r="A316" s="1" t="s">
        <v>318</v>
      </c>
      <c r="B316" s="2">
        <v>5215</v>
      </c>
      <c r="C316" s="3">
        <f t="shared" si="17"/>
        <v>2190.3000000000002</v>
      </c>
      <c r="D316" s="3">
        <f t="shared" si="18"/>
        <v>2138.15</v>
      </c>
      <c r="E316" s="4">
        <f t="shared" si="16"/>
        <v>2294.6</v>
      </c>
      <c r="F316" s="4">
        <f t="shared" si="19"/>
        <v>2817</v>
      </c>
    </row>
    <row r="317" spans="1:6" x14ac:dyDescent="0.25">
      <c r="A317" s="1" t="s">
        <v>319</v>
      </c>
      <c r="B317" s="2">
        <v>10400</v>
      </c>
      <c r="C317" s="3">
        <f t="shared" si="17"/>
        <v>4368</v>
      </c>
      <c r="D317" s="3">
        <f t="shared" si="18"/>
        <v>4264</v>
      </c>
      <c r="E317" s="4">
        <f t="shared" si="16"/>
        <v>4576</v>
      </c>
      <c r="F317" s="4">
        <f t="shared" si="19"/>
        <v>5616</v>
      </c>
    </row>
    <row r="318" spans="1:6" x14ac:dyDescent="0.25">
      <c r="A318" s="1" t="s">
        <v>320</v>
      </c>
      <c r="B318" s="2">
        <v>9505</v>
      </c>
      <c r="C318" s="3">
        <f t="shared" si="17"/>
        <v>3992.1000000000004</v>
      </c>
      <c r="D318" s="3">
        <f t="shared" si="18"/>
        <v>3897.05</v>
      </c>
      <c r="E318" s="4">
        <f t="shared" si="16"/>
        <v>4182.2</v>
      </c>
      <c r="F318" s="4">
        <f t="shared" si="19"/>
        <v>5133</v>
      </c>
    </row>
    <row r="319" spans="1:6" x14ac:dyDescent="0.25">
      <c r="A319" s="1" t="s">
        <v>321</v>
      </c>
      <c r="B319" s="2">
        <v>2880</v>
      </c>
      <c r="C319" s="3">
        <f t="shared" si="17"/>
        <v>1209.5999999999999</v>
      </c>
      <c r="D319" s="3">
        <f t="shared" si="18"/>
        <v>1180.8</v>
      </c>
      <c r="E319" s="4">
        <f t="shared" si="16"/>
        <v>1267.2</v>
      </c>
      <c r="F319" s="4">
        <f t="shared" si="19"/>
        <v>1556</v>
      </c>
    </row>
    <row r="320" spans="1:6" x14ac:dyDescent="0.25">
      <c r="A320" s="1" t="s">
        <v>322</v>
      </c>
      <c r="B320" s="2">
        <v>735</v>
      </c>
      <c r="C320" s="3">
        <f t="shared" si="17"/>
        <v>308.7</v>
      </c>
      <c r="D320" s="3">
        <f t="shared" si="18"/>
        <v>301.35000000000002</v>
      </c>
      <c r="E320" s="4">
        <f t="shared" si="16"/>
        <v>323.39999999999998</v>
      </c>
      <c r="F320" s="4">
        <f t="shared" si="19"/>
        <v>397</v>
      </c>
    </row>
    <row r="321" spans="1:6" x14ac:dyDescent="0.25">
      <c r="A321" s="1" t="s">
        <v>323</v>
      </c>
      <c r="B321" s="2">
        <v>210</v>
      </c>
      <c r="C321" s="3">
        <f t="shared" si="17"/>
        <v>88.2</v>
      </c>
      <c r="D321" s="3">
        <f t="shared" si="18"/>
        <v>86.1</v>
      </c>
      <c r="E321" s="4">
        <f t="shared" si="16"/>
        <v>92.4</v>
      </c>
      <c r="F321" s="4">
        <f t="shared" si="19"/>
        <v>114</v>
      </c>
    </row>
    <row r="322" spans="1:6" x14ac:dyDescent="0.25">
      <c r="A322" s="1" t="s">
        <v>324</v>
      </c>
      <c r="B322" s="2">
        <v>130</v>
      </c>
      <c r="C322" s="3">
        <f t="shared" si="17"/>
        <v>54.599999999999994</v>
      </c>
      <c r="D322" s="3">
        <f t="shared" si="18"/>
        <v>53.3</v>
      </c>
      <c r="E322" s="4">
        <f t="shared" si="16"/>
        <v>57.2</v>
      </c>
      <c r="F322" s="4">
        <f t="shared" si="19"/>
        <v>71</v>
      </c>
    </row>
    <row r="323" spans="1:6" x14ac:dyDescent="0.25">
      <c r="A323" s="1" t="s">
        <v>325</v>
      </c>
      <c r="B323" s="2">
        <v>685</v>
      </c>
      <c r="C323" s="3">
        <f t="shared" si="17"/>
        <v>287.7</v>
      </c>
      <c r="D323" s="3">
        <f t="shared" si="18"/>
        <v>280.85000000000002</v>
      </c>
      <c r="E323" s="4">
        <f t="shared" si="16"/>
        <v>301.39999999999998</v>
      </c>
      <c r="F323" s="4">
        <f t="shared" si="19"/>
        <v>370</v>
      </c>
    </row>
    <row r="324" spans="1:6" x14ac:dyDescent="0.25">
      <c r="A324" s="1" t="s">
        <v>326</v>
      </c>
      <c r="B324" s="2">
        <v>1120</v>
      </c>
      <c r="C324" s="3">
        <f t="shared" si="17"/>
        <v>470.4</v>
      </c>
      <c r="D324" s="3">
        <f t="shared" si="18"/>
        <v>459.20000000000005</v>
      </c>
      <c r="E324" s="4">
        <f t="shared" si="16"/>
        <v>492.79999999999995</v>
      </c>
      <c r="F324" s="4">
        <f t="shared" si="19"/>
        <v>605</v>
      </c>
    </row>
    <row r="325" spans="1:6" x14ac:dyDescent="0.25">
      <c r="A325" s="1" t="s">
        <v>327</v>
      </c>
      <c r="B325" s="2">
        <v>475</v>
      </c>
      <c r="C325" s="3">
        <f t="shared" si="17"/>
        <v>199.5</v>
      </c>
      <c r="D325" s="3">
        <f t="shared" si="18"/>
        <v>194.75</v>
      </c>
      <c r="E325" s="4">
        <f t="shared" si="16"/>
        <v>209</v>
      </c>
      <c r="F325" s="4">
        <f t="shared" si="19"/>
        <v>257</v>
      </c>
    </row>
    <row r="326" spans="1:6" x14ac:dyDescent="0.25">
      <c r="A326" s="1" t="s">
        <v>328</v>
      </c>
      <c r="B326" s="2">
        <v>910</v>
      </c>
      <c r="C326" s="3">
        <f t="shared" si="17"/>
        <v>382.20000000000005</v>
      </c>
      <c r="D326" s="3">
        <f t="shared" si="18"/>
        <v>373.1</v>
      </c>
      <c r="E326" s="4">
        <f t="shared" si="16"/>
        <v>400.4</v>
      </c>
      <c r="F326" s="4">
        <f t="shared" si="19"/>
        <v>492</v>
      </c>
    </row>
    <row r="327" spans="1:6" x14ac:dyDescent="0.25">
      <c r="A327" s="1" t="s">
        <v>329</v>
      </c>
      <c r="B327" s="2">
        <v>605</v>
      </c>
      <c r="C327" s="3">
        <f t="shared" si="17"/>
        <v>254.10000000000002</v>
      </c>
      <c r="D327" s="3">
        <f t="shared" si="18"/>
        <v>248.05</v>
      </c>
      <c r="E327" s="4">
        <f t="shared" si="16"/>
        <v>266.2</v>
      </c>
      <c r="F327" s="4">
        <f t="shared" si="19"/>
        <v>327</v>
      </c>
    </row>
    <row r="328" spans="1:6" x14ac:dyDescent="0.25">
      <c r="A328" s="1" t="s">
        <v>330</v>
      </c>
      <c r="B328" s="2">
        <v>975</v>
      </c>
      <c r="C328" s="3">
        <f t="shared" si="17"/>
        <v>409.5</v>
      </c>
      <c r="D328" s="3">
        <f t="shared" si="18"/>
        <v>399.75</v>
      </c>
      <c r="E328" s="4">
        <f t="shared" si="16"/>
        <v>429</v>
      </c>
      <c r="F328" s="4">
        <f t="shared" si="19"/>
        <v>527</v>
      </c>
    </row>
    <row r="329" spans="1:6" x14ac:dyDescent="0.25">
      <c r="A329" s="1" t="s">
        <v>331</v>
      </c>
      <c r="B329" s="2">
        <v>265</v>
      </c>
      <c r="C329" s="3">
        <f t="shared" si="17"/>
        <v>111.30000000000001</v>
      </c>
      <c r="D329" s="3">
        <f t="shared" si="18"/>
        <v>108.65</v>
      </c>
      <c r="E329" s="4">
        <f t="shared" si="16"/>
        <v>116.6</v>
      </c>
      <c r="F329" s="4">
        <f t="shared" si="19"/>
        <v>144</v>
      </c>
    </row>
    <row r="330" spans="1:6" x14ac:dyDescent="0.25">
      <c r="A330" s="1" t="s">
        <v>332</v>
      </c>
      <c r="B330" s="2">
        <v>565</v>
      </c>
      <c r="C330" s="3">
        <f t="shared" si="17"/>
        <v>237.3</v>
      </c>
      <c r="D330" s="3">
        <f t="shared" si="18"/>
        <v>231.64999999999998</v>
      </c>
      <c r="E330" s="4">
        <f t="shared" si="16"/>
        <v>248.60000000000002</v>
      </c>
      <c r="F330" s="4">
        <f t="shared" si="19"/>
        <v>306</v>
      </c>
    </row>
    <row r="331" spans="1:6" x14ac:dyDescent="0.25">
      <c r="A331" s="1" t="s">
        <v>333</v>
      </c>
      <c r="B331" s="2">
        <v>1000</v>
      </c>
      <c r="C331" s="3">
        <f t="shared" si="17"/>
        <v>420</v>
      </c>
      <c r="D331" s="3">
        <f t="shared" si="18"/>
        <v>410</v>
      </c>
      <c r="E331" s="4">
        <f t="shared" si="16"/>
        <v>440</v>
      </c>
      <c r="F331" s="4">
        <f t="shared" si="19"/>
        <v>540</v>
      </c>
    </row>
    <row r="332" spans="1:6" x14ac:dyDescent="0.25">
      <c r="A332" s="1" t="s">
        <v>334</v>
      </c>
      <c r="B332" s="2">
        <v>1670</v>
      </c>
      <c r="C332" s="3">
        <f t="shared" si="17"/>
        <v>701.4</v>
      </c>
      <c r="D332" s="3">
        <f t="shared" si="18"/>
        <v>684.7</v>
      </c>
      <c r="E332" s="4">
        <f t="shared" si="16"/>
        <v>734.8</v>
      </c>
      <c r="F332" s="4">
        <f t="shared" si="19"/>
        <v>902</v>
      </c>
    </row>
    <row r="333" spans="1:6" x14ac:dyDescent="0.25">
      <c r="A333" s="1" t="s">
        <v>335</v>
      </c>
      <c r="B333" s="2">
        <v>225</v>
      </c>
      <c r="C333" s="3">
        <f t="shared" si="17"/>
        <v>94.5</v>
      </c>
      <c r="D333" s="3">
        <f t="shared" si="18"/>
        <v>92.25</v>
      </c>
      <c r="E333" s="4">
        <f t="shared" si="16"/>
        <v>99</v>
      </c>
      <c r="F333" s="4">
        <f t="shared" si="19"/>
        <v>122</v>
      </c>
    </row>
    <row r="334" spans="1:6" x14ac:dyDescent="0.25">
      <c r="A334" s="1" t="s">
        <v>336</v>
      </c>
      <c r="B334" s="2">
        <v>420</v>
      </c>
      <c r="C334" s="3">
        <f t="shared" si="17"/>
        <v>176.4</v>
      </c>
      <c r="D334" s="3">
        <f t="shared" si="18"/>
        <v>172.2</v>
      </c>
      <c r="E334" s="4">
        <f t="shared" si="16"/>
        <v>184.8</v>
      </c>
      <c r="F334" s="4">
        <f t="shared" si="19"/>
        <v>227</v>
      </c>
    </row>
    <row r="335" spans="1:6" x14ac:dyDescent="0.25">
      <c r="A335" s="1" t="s">
        <v>337</v>
      </c>
      <c r="B335" s="2">
        <v>490</v>
      </c>
      <c r="C335" s="3">
        <f t="shared" si="17"/>
        <v>205.8</v>
      </c>
      <c r="D335" s="3">
        <f t="shared" si="18"/>
        <v>200.89999999999998</v>
      </c>
      <c r="E335" s="4">
        <f t="shared" si="16"/>
        <v>215.60000000000002</v>
      </c>
      <c r="F335" s="4">
        <f t="shared" si="19"/>
        <v>265</v>
      </c>
    </row>
    <row r="336" spans="1:6" x14ac:dyDescent="0.25">
      <c r="A336" s="1" t="s">
        <v>338</v>
      </c>
      <c r="B336" s="2">
        <v>610</v>
      </c>
      <c r="C336" s="3">
        <f t="shared" si="17"/>
        <v>256.2</v>
      </c>
      <c r="D336" s="3">
        <f t="shared" si="18"/>
        <v>250.10000000000002</v>
      </c>
      <c r="E336" s="4">
        <f t="shared" si="16"/>
        <v>268.39999999999998</v>
      </c>
      <c r="F336" s="4">
        <f t="shared" si="19"/>
        <v>330</v>
      </c>
    </row>
    <row r="337" spans="1:6" x14ac:dyDescent="0.25">
      <c r="A337" s="1" t="s">
        <v>339</v>
      </c>
      <c r="B337" s="2">
        <v>855</v>
      </c>
      <c r="C337" s="3">
        <f t="shared" si="17"/>
        <v>359.1</v>
      </c>
      <c r="D337" s="3">
        <f t="shared" si="18"/>
        <v>350.55</v>
      </c>
      <c r="E337" s="4">
        <f t="shared" si="16"/>
        <v>376.2</v>
      </c>
      <c r="F337" s="4">
        <f t="shared" si="19"/>
        <v>462</v>
      </c>
    </row>
    <row r="338" spans="1:6" x14ac:dyDescent="0.25">
      <c r="A338" s="1" t="s">
        <v>340</v>
      </c>
      <c r="B338" s="2">
        <v>1270</v>
      </c>
      <c r="C338" s="3">
        <f t="shared" si="17"/>
        <v>533.4</v>
      </c>
      <c r="D338" s="3">
        <f t="shared" si="18"/>
        <v>520.70000000000005</v>
      </c>
      <c r="E338" s="4">
        <f t="shared" si="16"/>
        <v>558.79999999999995</v>
      </c>
      <c r="F338" s="4">
        <f t="shared" si="19"/>
        <v>686</v>
      </c>
    </row>
    <row r="339" spans="1:6" x14ac:dyDescent="0.25">
      <c r="A339" s="1" t="s">
        <v>341</v>
      </c>
      <c r="B339" s="2">
        <v>1550</v>
      </c>
      <c r="C339" s="3">
        <f t="shared" si="17"/>
        <v>651</v>
      </c>
      <c r="D339" s="3">
        <f t="shared" si="18"/>
        <v>635.5</v>
      </c>
      <c r="E339" s="4">
        <f t="shared" si="16"/>
        <v>682</v>
      </c>
      <c r="F339" s="4">
        <f t="shared" si="19"/>
        <v>837</v>
      </c>
    </row>
    <row r="340" spans="1:6" x14ac:dyDescent="0.25">
      <c r="A340" s="1" t="s">
        <v>342</v>
      </c>
      <c r="B340" s="2">
        <v>1830</v>
      </c>
      <c r="C340" s="3">
        <f t="shared" si="17"/>
        <v>768.59999999999991</v>
      </c>
      <c r="D340" s="3">
        <f t="shared" si="18"/>
        <v>750.3</v>
      </c>
      <c r="E340" s="4">
        <f t="shared" si="16"/>
        <v>805.2</v>
      </c>
      <c r="F340" s="4">
        <f t="shared" si="19"/>
        <v>989</v>
      </c>
    </row>
    <row r="341" spans="1:6" x14ac:dyDescent="0.25">
      <c r="A341" s="1" t="s">
        <v>343</v>
      </c>
      <c r="B341" s="2">
        <v>2960</v>
      </c>
      <c r="C341" s="3">
        <f t="shared" si="17"/>
        <v>1243.2</v>
      </c>
      <c r="D341" s="3">
        <f t="shared" si="18"/>
        <v>1213.5999999999999</v>
      </c>
      <c r="E341" s="4">
        <f t="shared" si="16"/>
        <v>1302.4000000000001</v>
      </c>
      <c r="F341" s="4">
        <f t="shared" si="19"/>
        <v>1599</v>
      </c>
    </row>
    <row r="342" spans="1:6" x14ac:dyDescent="0.25">
      <c r="A342" s="1" t="s">
        <v>344</v>
      </c>
      <c r="B342" s="2">
        <v>525</v>
      </c>
      <c r="C342" s="3">
        <f t="shared" si="17"/>
        <v>220.5</v>
      </c>
      <c r="D342" s="3">
        <f t="shared" si="18"/>
        <v>215.25</v>
      </c>
      <c r="E342" s="4">
        <f t="shared" si="16"/>
        <v>231</v>
      </c>
      <c r="F342" s="4">
        <f t="shared" si="19"/>
        <v>284</v>
      </c>
    </row>
    <row r="343" spans="1:6" x14ac:dyDescent="0.25">
      <c r="A343" s="1" t="s">
        <v>345</v>
      </c>
      <c r="B343" s="2">
        <v>655</v>
      </c>
      <c r="C343" s="3">
        <f t="shared" si="17"/>
        <v>275.10000000000002</v>
      </c>
      <c r="D343" s="3">
        <f t="shared" si="18"/>
        <v>268.55</v>
      </c>
      <c r="E343" s="4">
        <f t="shared" si="16"/>
        <v>288.2</v>
      </c>
      <c r="F343" s="4">
        <f t="shared" si="19"/>
        <v>354</v>
      </c>
    </row>
    <row r="344" spans="1:6" x14ac:dyDescent="0.25">
      <c r="A344" s="1" t="s">
        <v>346</v>
      </c>
      <c r="B344" s="2">
        <v>245</v>
      </c>
      <c r="C344" s="3">
        <f t="shared" si="17"/>
        <v>102.9</v>
      </c>
      <c r="D344" s="3">
        <f t="shared" si="18"/>
        <v>100.44999999999999</v>
      </c>
      <c r="E344" s="4">
        <f t="shared" ref="E344:E407" si="20">B344-(B344*56/100)</f>
        <v>107.80000000000001</v>
      </c>
      <c r="F344" s="4">
        <f t="shared" si="19"/>
        <v>133</v>
      </c>
    </row>
    <row r="345" spans="1:6" x14ac:dyDescent="0.25">
      <c r="A345" s="1" t="s">
        <v>347</v>
      </c>
      <c r="B345" s="2">
        <v>315</v>
      </c>
      <c r="C345" s="3">
        <f t="shared" si="17"/>
        <v>132.30000000000001</v>
      </c>
      <c r="D345" s="3">
        <f t="shared" si="18"/>
        <v>129.15</v>
      </c>
      <c r="E345" s="4">
        <f t="shared" si="20"/>
        <v>138.6</v>
      </c>
      <c r="F345" s="4">
        <f t="shared" si="19"/>
        <v>171</v>
      </c>
    </row>
    <row r="346" spans="1:6" x14ac:dyDescent="0.25">
      <c r="A346" s="1" t="s">
        <v>348</v>
      </c>
      <c r="B346" s="2">
        <v>265</v>
      </c>
      <c r="C346" s="3">
        <f t="shared" si="17"/>
        <v>111.30000000000001</v>
      </c>
      <c r="D346" s="3">
        <f t="shared" si="18"/>
        <v>108.65</v>
      </c>
      <c r="E346" s="4">
        <f t="shared" si="20"/>
        <v>116.6</v>
      </c>
      <c r="F346" s="4">
        <f t="shared" si="19"/>
        <v>144</v>
      </c>
    </row>
    <row r="347" spans="1:6" x14ac:dyDescent="0.25">
      <c r="A347" s="1" t="s">
        <v>349</v>
      </c>
      <c r="B347" s="2">
        <v>335</v>
      </c>
      <c r="C347" s="3">
        <f t="shared" si="17"/>
        <v>140.69999999999999</v>
      </c>
      <c r="D347" s="3">
        <f t="shared" si="18"/>
        <v>137.35</v>
      </c>
      <c r="E347" s="4">
        <f t="shared" si="20"/>
        <v>147.4</v>
      </c>
      <c r="F347" s="4">
        <f t="shared" si="19"/>
        <v>181</v>
      </c>
    </row>
    <row r="348" spans="1:6" x14ac:dyDescent="0.25">
      <c r="A348" s="1" t="s">
        <v>350</v>
      </c>
      <c r="B348" s="2">
        <v>1290</v>
      </c>
      <c r="C348" s="3">
        <f t="shared" si="17"/>
        <v>541.79999999999995</v>
      </c>
      <c r="D348" s="3">
        <f t="shared" si="18"/>
        <v>528.9</v>
      </c>
      <c r="E348" s="4">
        <f t="shared" si="20"/>
        <v>567.6</v>
      </c>
      <c r="F348" s="4">
        <f t="shared" si="19"/>
        <v>697</v>
      </c>
    </row>
    <row r="349" spans="1:6" x14ac:dyDescent="0.25">
      <c r="A349" s="1" t="s">
        <v>351</v>
      </c>
      <c r="B349" s="2">
        <v>1585</v>
      </c>
      <c r="C349" s="3">
        <f t="shared" si="17"/>
        <v>665.7</v>
      </c>
      <c r="D349" s="3">
        <f t="shared" si="18"/>
        <v>649.85</v>
      </c>
      <c r="E349" s="4">
        <f t="shared" si="20"/>
        <v>697.4</v>
      </c>
      <c r="F349" s="4">
        <f t="shared" si="19"/>
        <v>856</v>
      </c>
    </row>
    <row r="350" spans="1:6" x14ac:dyDescent="0.25">
      <c r="A350" s="1" t="s">
        <v>352</v>
      </c>
      <c r="B350" s="2">
        <v>3095</v>
      </c>
      <c r="C350" s="3">
        <f t="shared" si="17"/>
        <v>1299.9000000000001</v>
      </c>
      <c r="D350" s="3">
        <f t="shared" si="18"/>
        <v>1268.95</v>
      </c>
      <c r="E350" s="4">
        <f t="shared" si="20"/>
        <v>1361.8</v>
      </c>
      <c r="F350" s="4">
        <f t="shared" si="19"/>
        <v>1672</v>
      </c>
    </row>
    <row r="351" spans="1:6" x14ac:dyDescent="0.25">
      <c r="A351" s="1" t="s">
        <v>353</v>
      </c>
      <c r="B351" s="2">
        <v>4430</v>
      </c>
      <c r="C351" s="3">
        <f t="shared" si="17"/>
        <v>1860.6</v>
      </c>
      <c r="D351" s="3">
        <f t="shared" si="18"/>
        <v>1816.3000000000002</v>
      </c>
      <c r="E351" s="4">
        <f t="shared" si="20"/>
        <v>1949.1999999999998</v>
      </c>
      <c r="F351" s="4">
        <f t="shared" si="19"/>
        <v>2393</v>
      </c>
    </row>
    <row r="352" spans="1:6" x14ac:dyDescent="0.25">
      <c r="A352" s="1" t="s">
        <v>354</v>
      </c>
      <c r="B352" s="2">
        <v>5515</v>
      </c>
      <c r="C352" s="3">
        <f t="shared" si="17"/>
        <v>2316.3000000000002</v>
      </c>
      <c r="D352" s="3">
        <f t="shared" si="18"/>
        <v>2261.15</v>
      </c>
      <c r="E352" s="4">
        <f t="shared" si="20"/>
        <v>2426.6</v>
      </c>
      <c r="F352" s="4">
        <f t="shared" si="19"/>
        <v>2979</v>
      </c>
    </row>
    <row r="353" spans="1:6" x14ac:dyDescent="0.25">
      <c r="A353" s="1" t="s">
        <v>355</v>
      </c>
      <c r="B353" s="2">
        <v>1820</v>
      </c>
      <c r="C353" s="3">
        <f t="shared" ref="C353:C416" si="21">B353-(B353*58/100)</f>
        <v>764.40000000000009</v>
      </c>
      <c r="D353" s="3">
        <f t="shared" ref="D353:D416" si="22">B353-(B353*59/100)</f>
        <v>746.2</v>
      </c>
      <c r="E353" s="4">
        <f t="shared" si="20"/>
        <v>800.8</v>
      </c>
      <c r="F353" s="4">
        <f t="shared" ref="F353:F416" si="23">ROUNDUP(B353-(B353*46/100),0)</f>
        <v>983</v>
      </c>
    </row>
    <row r="354" spans="1:6" x14ac:dyDescent="0.25">
      <c r="A354" s="1" t="s">
        <v>356</v>
      </c>
      <c r="B354" s="2">
        <v>1925</v>
      </c>
      <c r="C354" s="3">
        <f t="shared" si="21"/>
        <v>808.5</v>
      </c>
      <c r="D354" s="3">
        <f t="shared" si="22"/>
        <v>789.25</v>
      </c>
      <c r="E354" s="4">
        <f t="shared" si="20"/>
        <v>847</v>
      </c>
      <c r="F354" s="4">
        <f t="shared" si="23"/>
        <v>1040</v>
      </c>
    </row>
    <row r="355" spans="1:6" x14ac:dyDescent="0.25">
      <c r="A355" s="1" t="s">
        <v>357</v>
      </c>
      <c r="B355" s="2">
        <v>2900</v>
      </c>
      <c r="C355" s="3">
        <f t="shared" si="21"/>
        <v>1218</v>
      </c>
      <c r="D355" s="3">
        <f t="shared" si="22"/>
        <v>1189</v>
      </c>
      <c r="E355" s="4">
        <f t="shared" si="20"/>
        <v>1276</v>
      </c>
      <c r="F355" s="4">
        <f t="shared" si="23"/>
        <v>1566</v>
      </c>
    </row>
    <row r="356" spans="1:6" x14ac:dyDescent="0.25">
      <c r="A356" s="1" t="s">
        <v>358</v>
      </c>
      <c r="B356" s="2">
        <v>3090</v>
      </c>
      <c r="C356" s="3">
        <f t="shared" si="21"/>
        <v>1297.8</v>
      </c>
      <c r="D356" s="3">
        <f t="shared" si="22"/>
        <v>1266.9000000000001</v>
      </c>
      <c r="E356" s="4">
        <f t="shared" si="20"/>
        <v>1359.6</v>
      </c>
      <c r="F356" s="4">
        <f t="shared" si="23"/>
        <v>1669</v>
      </c>
    </row>
    <row r="357" spans="1:6" x14ac:dyDescent="0.25">
      <c r="A357" s="1" t="s">
        <v>359</v>
      </c>
      <c r="B357" s="2">
        <v>2170</v>
      </c>
      <c r="C357" s="3">
        <f t="shared" si="21"/>
        <v>911.40000000000009</v>
      </c>
      <c r="D357" s="3">
        <f t="shared" si="22"/>
        <v>889.7</v>
      </c>
      <c r="E357" s="4">
        <f t="shared" si="20"/>
        <v>954.8</v>
      </c>
      <c r="F357" s="4">
        <f t="shared" si="23"/>
        <v>1172</v>
      </c>
    </row>
    <row r="358" spans="1:6" x14ac:dyDescent="0.25">
      <c r="A358" s="1" t="s">
        <v>360</v>
      </c>
      <c r="B358" s="2">
        <v>2455</v>
      </c>
      <c r="C358" s="3">
        <f t="shared" si="21"/>
        <v>1031.0999999999999</v>
      </c>
      <c r="D358" s="3">
        <f t="shared" si="22"/>
        <v>1006.55</v>
      </c>
      <c r="E358" s="4">
        <f t="shared" si="20"/>
        <v>1080.2</v>
      </c>
      <c r="F358" s="4">
        <f t="shared" si="23"/>
        <v>1326</v>
      </c>
    </row>
    <row r="359" spans="1:6" x14ac:dyDescent="0.25">
      <c r="A359" s="1" t="s">
        <v>361</v>
      </c>
      <c r="B359" s="2">
        <v>3880</v>
      </c>
      <c r="C359" s="3">
        <f t="shared" si="21"/>
        <v>1629.6</v>
      </c>
      <c r="D359" s="3">
        <f t="shared" si="22"/>
        <v>1590.8000000000002</v>
      </c>
      <c r="E359" s="4">
        <f t="shared" si="20"/>
        <v>1707.1999999999998</v>
      </c>
      <c r="F359" s="4">
        <f t="shared" si="23"/>
        <v>2096</v>
      </c>
    </row>
    <row r="360" spans="1:6" x14ac:dyDescent="0.25">
      <c r="A360" s="1" t="s">
        <v>362</v>
      </c>
      <c r="B360" s="2">
        <v>4235</v>
      </c>
      <c r="C360" s="3">
        <f t="shared" si="21"/>
        <v>1778.6999999999998</v>
      </c>
      <c r="D360" s="3">
        <f t="shared" si="22"/>
        <v>1736.35</v>
      </c>
      <c r="E360" s="4">
        <f t="shared" si="20"/>
        <v>1863.4</v>
      </c>
      <c r="F360" s="4">
        <f t="shared" si="23"/>
        <v>2287</v>
      </c>
    </row>
    <row r="361" spans="1:6" x14ac:dyDescent="0.25">
      <c r="A361" s="1" t="s">
        <v>363</v>
      </c>
      <c r="B361" s="2">
        <v>5455</v>
      </c>
      <c r="C361" s="3">
        <f t="shared" si="21"/>
        <v>2291.1</v>
      </c>
      <c r="D361" s="3">
        <f t="shared" si="22"/>
        <v>2236.5500000000002</v>
      </c>
      <c r="E361" s="4">
        <f t="shared" si="20"/>
        <v>2400.1999999999998</v>
      </c>
      <c r="F361" s="4">
        <f t="shared" si="23"/>
        <v>2946</v>
      </c>
    </row>
    <row r="362" spans="1:6" x14ac:dyDescent="0.25">
      <c r="A362" s="1" t="s">
        <v>364</v>
      </c>
      <c r="B362" s="2">
        <v>1645</v>
      </c>
      <c r="C362" s="3">
        <f t="shared" si="21"/>
        <v>690.9</v>
      </c>
      <c r="D362" s="3">
        <f t="shared" si="22"/>
        <v>674.45</v>
      </c>
      <c r="E362" s="4">
        <f t="shared" si="20"/>
        <v>723.8</v>
      </c>
      <c r="F362" s="4">
        <f t="shared" si="23"/>
        <v>889</v>
      </c>
    </row>
    <row r="363" spans="1:6" x14ac:dyDescent="0.25">
      <c r="A363" s="1" t="s">
        <v>365</v>
      </c>
      <c r="B363" s="2">
        <v>1975</v>
      </c>
      <c r="C363" s="3">
        <f t="shared" si="21"/>
        <v>829.5</v>
      </c>
      <c r="D363" s="3">
        <f t="shared" si="22"/>
        <v>809.75</v>
      </c>
      <c r="E363" s="4">
        <f t="shared" si="20"/>
        <v>869</v>
      </c>
      <c r="F363" s="4">
        <f t="shared" si="23"/>
        <v>1067</v>
      </c>
    </row>
    <row r="364" spans="1:6" x14ac:dyDescent="0.25">
      <c r="A364" s="1" t="s">
        <v>366</v>
      </c>
      <c r="B364" s="2">
        <v>3440</v>
      </c>
      <c r="C364" s="3">
        <f t="shared" si="21"/>
        <v>1444.8</v>
      </c>
      <c r="D364" s="3">
        <f t="shared" si="22"/>
        <v>1410.4</v>
      </c>
      <c r="E364" s="4">
        <f t="shared" si="20"/>
        <v>1513.6</v>
      </c>
      <c r="F364" s="4">
        <f t="shared" si="23"/>
        <v>1858</v>
      </c>
    </row>
    <row r="365" spans="1:6" x14ac:dyDescent="0.25">
      <c r="A365" s="1" t="s">
        <v>367</v>
      </c>
      <c r="B365" s="2">
        <v>6060</v>
      </c>
      <c r="C365" s="3">
        <f t="shared" si="21"/>
        <v>2545.1999999999998</v>
      </c>
      <c r="D365" s="3">
        <f t="shared" si="22"/>
        <v>2484.6</v>
      </c>
      <c r="E365" s="4">
        <f t="shared" si="20"/>
        <v>2666.4</v>
      </c>
      <c r="F365" s="4">
        <f t="shared" si="23"/>
        <v>3273</v>
      </c>
    </row>
    <row r="366" spans="1:6" x14ac:dyDescent="0.25">
      <c r="A366" s="1" t="s">
        <v>368</v>
      </c>
      <c r="B366" s="2">
        <v>1585</v>
      </c>
      <c r="C366" s="3">
        <f t="shared" si="21"/>
        <v>665.7</v>
      </c>
      <c r="D366" s="3">
        <f t="shared" si="22"/>
        <v>649.85</v>
      </c>
      <c r="E366" s="4">
        <f t="shared" si="20"/>
        <v>697.4</v>
      </c>
      <c r="F366" s="4">
        <f t="shared" si="23"/>
        <v>856</v>
      </c>
    </row>
    <row r="367" spans="1:6" x14ac:dyDescent="0.25">
      <c r="A367" s="1" t="s">
        <v>369</v>
      </c>
      <c r="B367" s="2">
        <v>905</v>
      </c>
      <c r="C367" s="3">
        <f t="shared" si="21"/>
        <v>380.1</v>
      </c>
      <c r="D367" s="3">
        <f t="shared" si="22"/>
        <v>371.04999999999995</v>
      </c>
      <c r="E367" s="4">
        <f t="shared" si="20"/>
        <v>398.2</v>
      </c>
      <c r="F367" s="4">
        <f t="shared" si="23"/>
        <v>489</v>
      </c>
    </row>
    <row r="368" spans="1:6" x14ac:dyDescent="0.25">
      <c r="A368" s="1" t="s">
        <v>370</v>
      </c>
      <c r="B368" s="2">
        <v>1520</v>
      </c>
      <c r="C368" s="3">
        <f t="shared" si="21"/>
        <v>638.4</v>
      </c>
      <c r="D368" s="3">
        <f t="shared" si="22"/>
        <v>623.20000000000005</v>
      </c>
      <c r="E368" s="4">
        <f t="shared" si="20"/>
        <v>668.8</v>
      </c>
      <c r="F368" s="4">
        <f t="shared" si="23"/>
        <v>821</v>
      </c>
    </row>
    <row r="369" spans="1:6" x14ac:dyDescent="0.25">
      <c r="A369" s="1" t="s">
        <v>371</v>
      </c>
      <c r="B369" s="2">
        <v>1570</v>
      </c>
      <c r="C369" s="3">
        <f t="shared" si="21"/>
        <v>659.4</v>
      </c>
      <c r="D369" s="3">
        <f t="shared" si="22"/>
        <v>643.70000000000005</v>
      </c>
      <c r="E369" s="4">
        <f t="shared" si="20"/>
        <v>690.8</v>
      </c>
      <c r="F369" s="4">
        <f t="shared" si="23"/>
        <v>848</v>
      </c>
    </row>
    <row r="370" spans="1:6" x14ac:dyDescent="0.25">
      <c r="A370" s="1" t="s">
        <v>372</v>
      </c>
      <c r="B370" s="2">
        <v>2980</v>
      </c>
      <c r="C370" s="3">
        <f t="shared" si="21"/>
        <v>1251.5999999999999</v>
      </c>
      <c r="D370" s="3">
        <f t="shared" si="22"/>
        <v>1221.8</v>
      </c>
      <c r="E370" s="4">
        <f t="shared" si="20"/>
        <v>1311.2</v>
      </c>
      <c r="F370" s="4">
        <f t="shared" si="23"/>
        <v>1610</v>
      </c>
    </row>
    <row r="371" spans="1:6" x14ac:dyDescent="0.25">
      <c r="A371" s="1" t="s">
        <v>373</v>
      </c>
      <c r="B371" s="2">
        <v>4715</v>
      </c>
      <c r="C371" s="3">
        <f t="shared" si="21"/>
        <v>1980.3000000000002</v>
      </c>
      <c r="D371" s="3">
        <f t="shared" si="22"/>
        <v>1933.15</v>
      </c>
      <c r="E371" s="4">
        <f t="shared" si="20"/>
        <v>2074.6</v>
      </c>
      <c r="F371" s="4">
        <f t="shared" si="23"/>
        <v>2547</v>
      </c>
    </row>
    <row r="372" spans="1:6" x14ac:dyDescent="0.25">
      <c r="A372" s="1" t="s">
        <v>374</v>
      </c>
      <c r="B372" s="2">
        <v>6625</v>
      </c>
      <c r="C372" s="3">
        <f t="shared" si="21"/>
        <v>2782.5</v>
      </c>
      <c r="D372" s="3">
        <f t="shared" si="22"/>
        <v>2716.25</v>
      </c>
      <c r="E372" s="4">
        <f t="shared" si="20"/>
        <v>2915</v>
      </c>
      <c r="F372" s="4">
        <f t="shared" si="23"/>
        <v>3578</v>
      </c>
    </row>
    <row r="373" spans="1:6" x14ac:dyDescent="0.25">
      <c r="A373" s="1" t="s">
        <v>375</v>
      </c>
      <c r="B373" s="2">
        <v>7490</v>
      </c>
      <c r="C373" s="3">
        <f t="shared" si="21"/>
        <v>3145.8</v>
      </c>
      <c r="D373" s="3">
        <f t="shared" si="22"/>
        <v>3070.8999999999996</v>
      </c>
      <c r="E373" s="4">
        <f t="shared" si="20"/>
        <v>3295.6000000000004</v>
      </c>
      <c r="F373" s="4">
        <f t="shared" si="23"/>
        <v>4045</v>
      </c>
    </row>
    <row r="374" spans="1:6" x14ac:dyDescent="0.25">
      <c r="A374" s="1" t="s">
        <v>376</v>
      </c>
      <c r="B374" s="2">
        <v>14450</v>
      </c>
      <c r="C374" s="3">
        <f t="shared" si="21"/>
        <v>6069</v>
      </c>
      <c r="D374" s="3">
        <f t="shared" si="22"/>
        <v>5924.5</v>
      </c>
      <c r="E374" s="4">
        <f t="shared" si="20"/>
        <v>6358</v>
      </c>
      <c r="F374" s="4">
        <f t="shared" si="23"/>
        <v>7803</v>
      </c>
    </row>
    <row r="375" spans="1:6" x14ac:dyDescent="0.25">
      <c r="A375" s="1" t="s">
        <v>377</v>
      </c>
      <c r="B375" s="2">
        <v>18930</v>
      </c>
      <c r="C375" s="3">
        <f t="shared" si="21"/>
        <v>7950.6</v>
      </c>
      <c r="D375" s="3">
        <f t="shared" si="22"/>
        <v>7761.2999999999993</v>
      </c>
      <c r="E375" s="4">
        <f t="shared" si="20"/>
        <v>8329.2000000000007</v>
      </c>
      <c r="F375" s="4">
        <f t="shared" si="23"/>
        <v>10223</v>
      </c>
    </row>
    <row r="376" spans="1:6" x14ac:dyDescent="0.25">
      <c r="A376" s="1" t="s">
        <v>378</v>
      </c>
      <c r="B376" s="2">
        <v>24975</v>
      </c>
      <c r="C376" s="3">
        <f t="shared" si="21"/>
        <v>10489.5</v>
      </c>
      <c r="D376" s="3">
        <f t="shared" si="22"/>
        <v>10239.75</v>
      </c>
      <c r="E376" s="4">
        <f t="shared" si="20"/>
        <v>10989</v>
      </c>
      <c r="F376" s="4">
        <f t="shared" si="23"/>
        <v>13487</v>
      </c>
    </row>
    <row r="377" spans="1:6" x14ac:dyDescent="0.25">
      <c r="A377" s="1" t="s">
        <v>379</v>
      </c>
      <c r="B377" s="2">
        <v>2980</v>
      </c>
      <c r="C377" s="3">
        <f t="shared" si="21"/>
        <v>1251.5999999999999</v>
      </c>
      <c r="D377" s="3">
        <f t="shared" si="22"/>
        <v>1221.8</v>
      </c>
      <c r="E377" s="4">
        <f t="shared" si="20"/>
        <v>1311.2</v>
      </c>
      <c r="F377" s="4">
        <f t="shared" si="23"/>
        <v>1610</v>
      </c>
    </row>
    <row r="378" spans="1:6" x14ac:dyDescent="0.25">
      <c r="A378" s="1" t="s">
        <v>380</v>
      </c>
      <c r="B378" s="2">
        <v>4715</v>
      </c>
      <c r="C378" s="3">
        <f t="shared" si="21"/>
        <v>1980.3000000000002</v>
      </c>
      <c r="D378" s="3">
        <f t="shared" si="22"/>
        <v>1933.15</v>
      </c>
      <c r="E378" s="4">
        <f t="shared" si="20"/>
        <v>2074.6</v>
      </c>
      <c r="F378" s="4">
        <f t="shared" si="23"/>
        <v>2547</v>
      </c>
    </row>
    <row r="379" spans="1:6" x14ac:dyDescent="0.25">
      <c r="A379" s="1" t="s">
        <v>381</v>
      </c>
      <c r="B379" s="2">
        <v>6625</v>
      </c>
      <c r="C379" s="3">
        <f t="shared" si="21"/>
        <v>2782.5</v>
      </c>
      <c r="D379" s="3">
        <f t="shared" si="22"/>
        <v>2716.25</v>
      </c>
      <c r="E379" s="4">
        <f t="shared" si="20"/>
        <v>2915</v>
      </c>
      <c r="F379" s="4">
        <f t="shared" si="23"/>
        <v>3578</v>
      </c>
    </row>
    <row r="380" spans="1:6" x14ac:dyDescent="0.25">
      <c r="A380" s="1" t="s">
        <v>382</v>
      </c>
      <c r="B380" s="2">
        <v>7960</v>
      </c>
      <c r="C380" s="3">
        <f t="shared" si="21"/>
        <v>3343.2</v>
      </c>
      <c r="D380" s="3">
        <f t="shared" si="22"/>
        <v>3263.6000000000004</v>
      </c>
      <c r="E380" s="4">
        <f t="shared" si="20"/>
        <v>3502.3999999999996</v>
      </c>
      <c r="F380" s="4">
        <f t="shared" si="23"/>
        <v>4299</v>
      </c>
    </row>
    <row r="381" spans="1:6" x14ac:dyDescent="0.25">
      <c r="A381" s="1" t="s">
        <v>383</v>
      </c>
      <c r="B381" s="2">
        <v>1560</v>
      </c>
      <c r="C381" s="3">
        <f t="shared" si="21"/>
        <v>655.20000000000005</v>
      </c>
      <c r="D381" s="3">
        <f t="shared" si="22"/>
        <v>639.6</v>
      </c>
      <c r="E381" s="4">
        <f t="shared" si="20"/>
        <v>686.4</v>
      </c>
      <c r="F381" s="4">
        <f t="shared" si="23"/>
        <v>843</v>
      </c>
    </row>
    <row r="382" spans="1:6" x14ac:dyDescent="0.25">
      <c r="A382" s="1" t="s">
        <v>384</v>
      </c>
      <c r="B382" s="2">
        <v>3000</v>
      </c>
      <c r="C382" s="3">
        <f t="shared" si="21"/>
        <v>1260</v>
      </c>
      <c r="D382" s="3">
        <f t="shared" si="22"/>
        <v>1230</v>
      </c>
      <c r="E382" s="4">
        <f t="shared" si="20"/>
        <v>1320</v>
      </c>
      <c r="F382" s="4">
        <f t="shared" si="23"/>
        <v>1620</v>
      </c>
    </row>
    <row r="383" spans="1:6" x14ac:dyDescent="0.25">
      <c r="A383" s="1" t="s">
        <v>385</v>
      </c>
      <c r="B383" s="2">
        <v>2190</v>
      </c>
      <c r="C383" s="3">
        <f t="shared" si="21"/>
        <v>919.8</v>
      </c>
      <c r="D383" s="3">
        <f t="shared" si="22"/>
        <v>897.90000000000009</v>
      </c>
      <c r="E383" s="4">
        <f t="shared" si="20"/>
        <v>963.59999999999991</v>
      </c>
      <c r="F383" s="4">
        <f t="shared" si="23"/>
        <v>1183</v>
      </c>
    </row>
    <row r="384" spans="1:6" x14ac:dyDescent="0.25">
      <c r="A384" s="1" t="s">
        <v>386</v>
      </c>
      <c r="B384" s="2">
        <v>3475</v>
      </c>
      <c r="C384" s="3">
        <f t="shared" si="21"/>
        <v>1459.5</v>
      </c>
      <c r="D384" s="3">
        <f t="shared" si="22"/>
        <v>1424.75</v>
      </c>
      <c r="E384" s="4">
        <f t="shared" si="20"/>
        <v>1529</v>
      </c>
      <c r="F384" s="4">
        <f t="shared" si="23"/>
        <v>1877</v>
      </c>
    </row>
    <row r="385" spans="1:6" x14ac:dyDescent="0.25">
      <c r="A385" s="1" t="s">
        <v>387</v>
      </c>
      <c r="B385" s="2">
        <v>580</v>
      </c>
      <c r="C385" s="3">
        <f t="shared" si="21"/>
        <v>243.60000000000002</v>
      </c>
      <c r="D385" s="3">
        <f t="shared" si="22"/>
        <v>237.8</v>
      </c>
      <c r="E385" s="4">
        <f t="shared" si="20"/>
        <v>255.2</v>
      </c>
      <c r="F385" s="4">
        <f t="shared" si="23"/>
        <v>314</v>
      </c>
    </row>
    <row r="386" spans="1:6" x14ac:dyDescent="0.25">
      <c r="A386" s="1" t="s">
        <v>388</v>
      </c>
      <c r="B386" s="2">
        <v>355</v>
      </c>
      <c r="C386" s="3">
        <f t="shared" si="21"/>
        <v>149.1</v>
      </c>
      <c r="D386" s="3">
        <f t="shared" si="22"/>
        <v>145.55000000000001</v>
      </c>
      <c r="E386" s="4">
        <f t="shared" si="20"/>
        <v>156.19999999999999</v>
      </c>
      <c r="F386" s="4">
        <f t="shared" si="23"/>
        <v>192</v>
      </c>
    </row>
    <row r="387" spans="1:6" x14ac:dyDescent="0.25">
      <c r="A387" s="1" t="s">
        <v>389</v>
      </c>
      <c r="B387" s="2">
        <v>1130</v>
      </c>
      <c r="C387" s="3">
        <f t="shared" si="21"/>
        <v>474.6</v>
      </c>
      <c r="D387" s="3">
        <f t="shared" si="22"/>
        <v>463.29999999999995</v>
      </c>
      <c r="E387" s="4">
        <f t="shared" si="20"/>
        <v>497.20000000000005</v>
      </c>
      <c r="F387" s="4">
        <f t="shared" si="23"/>
        <v>611</v>
      </c>
    </row>
    <row r="388" spans="1:6" x14ac:dyDescent="0.25">
      <c r="A388" s="1" t="s">
        <v>390</v>
      </c>
      <c r="B388" s="2">
        <v>1170</v>
      </c>
      <c r="C388" s="3">
        <f t="shared" si="21"/>
        <v>491.4</v>
      </c>
      <c r="D388" s="3">
        <f t="shared" si="22"/>
        <v>479.70000000000005</v>
      </c>
      <c r="E388" s="4">
        <f t="shared" si="20"/>
        <v>514.79999999999995</v>
      </c>
      <c r="F388" s="4">
        <f t="shared" si="23"/>
        <v>632</v>
      </c>
    </row>
    <row r="389" spans="1:6" x14ac:dyDescent="0.25">
      <c r="A389" s="1" t="s">
        <v>391</v>
      </c>
      <c r="B389" s="2">
        <v>1515</v>
      </c>
      <c r="C389" s="3">
        <f t="shared" si="21"/>
        <v>636.29999999999995</v>
      </c>
      <c r="D389" s="3">
        <f t="shared" si="22"/>
        <v>621.15</v>
      </c>
      <c r="E389" s="4">
        <f t="shared" si="20"/>
        <v>666.6</v>
      </c>
      <c r="F389" s="4">
        <f t="shared" si="23"/>
        <v>819</v>
      </c>
    </row>
    <row r="390" spans="1:6" x14ac:dyDescent="0.25">
      <c r="A390" s="1" t="s">
        <v>392</v>
      </c>
      <c r="B390" s="2">
        <v>1570</v>
      </c>
      <c r="C390" s="3">
        <f t="shared" si="21"/>
        <v>659.4</v>
      </c>
      <c r="D390" s="3">
        <f t="shared" si="22"/>
        <v>643.70000000000005</v>
      </c>
      <c r="E390" s="4">
        <f t="shared" si="20"/>
        <v>690.8</v>
      </c>
      <c r="F390" s="4">
        <f t="shared" si="23"/>
        <v>848</v>
      </c>
    </row>
    <row r="391" spans="1:6" x14ac:dyDescent="0.25">
      <c r="A391" s="1" t="s">
        <v>393</v>
      </c>
      <c r="B391" s="2">
        <v>1870</v>
      </c>
      <c r="C391" s="3">
        <f t="shared" si="21"/>
        <v>785.40000000000009</v>
      </c>
      <c r="D391" s="3">
        <f t="shared" si="22"/>
        <v>766.7</v>
      </c>
      <c r="E391" s="4">
        <f t="shared" si="20"/>
        <v>822.8</v>
      </c>
      <c r="F391" s="4">
        <f t="shared" si="23"/>
        <v>1010</v>
      </c>
    </row>
    <row r="392" spans="1:6" x14ac:dyDescent="0.25">
      <c r="A392" s="1" t="s">
        <v>394</v>
      </c>
      <c r="B392" s="2">
        <v>2780</v>
      </c>
      <c r="C392" s="3">
        <f t="shared" si="21"/>
        <v>1167.5999999999999</v>
      </c>
      <c r="D392" s="3">
        <f t="shared" si="22"/>
        <v>1139.8</v>
      </c>
      <c r="E392" s="4">
        <f t="shared" si="20"/>
        <v>1223.2</v>
      </c>
      <c r="F392" s="4">
        <f t="shared" si="23"/>
        <v>1502</v>
      </c>
    </row>
    <row r="393" spans="1:6" x14ac:dyDescent="0.25">
      <c r="A393" s="1" t="s">
        <v>395</v>
      </c>
      <c r="B393" s="2">
        <v>3525</v>
      </c>
      <c r="C393" s="3">
        <f t="shared" si="21"/>
        <v>1480.5</v>
      </c>
      <c r="D393" s="3">
        <f t="shared" si="22"/>
        <v>1445.25</v>
      </c>
      <c r="E393" s="4">
        <f t="shared" si="20"/>
        <v>1551</v>
      </c>
      <c r="F393" s="4">
        <f t="shared" si="23"/>
        <v>1904</v>
      </c>
    </row>
    <row r="394" spans="1:6" x14ac:dyDescent="0.25">
      <c r="A394" s="1" t="s">
        <v>396</v>
      </c>
      <c r="B394" s="2">
        <v>7235</v>
      </c>
      <c r="C394" s="3">
        <f t="shared" si="21"/>
        <v>3038.7</v>
      </c>
      <c r="D394" s="3">
        <f t="shared" si="22"/>
        <v>2966.3500000000004</v>
      </c>
      <c r="E394" s="4">
        <f t="shared" si="20"/>
        <v>3183.4</v>
      </c>
      <c r="F394" s="4">
        <f t="shared" si="23"/>
        <v>3907</v>
      </c>
    </row>
    <row r="395" spans="1:6" x14ac:dyDescent="0.25">
      <c r="A395" s="1" t="s">
        <v>397</v>
      </c>
      <c r="B395" s="2">
        <v>9985</v>
      </c>
      <c r="C395" s="3">
        <f t="shared" si="21"/>
        <v>4193.7</v>
      </c>
      <c r="D395" s="3">
        <f t="shared" si="22"/>
        <v>4093.8500000000004</v>
      </c>
      <c r="E395" s="4">
        <f t="shared" si="20"/>
        <v>4393.3999999999996</v>
      </c>
      <c r="F395" s="4">
        <f t="shared" si="23"/>
        <v>5392</v>
      </c>
    </row>
    <row r="396" spans="1:6" x14ac:dyDescent="0.25">
      <c r="A396" s="1" t="s">
        <v>398</v>
      </c>
      <c r="B396" s="2">
        <v>1005</v>
      </c>
      <c r="C396" s="3">
        <f t="shared" si="21"/>
        <v>422.1</v>
      </c>
      <c r="D396" s="3">
        <f t="shared" si="22"/>
        <v>412.04999999999995</v>
      </c>
      <c r="E396" s="4">
        <f t="shared" si="20"/>
        <v>442.20000000000005</v>
      </c>
      <c r="F396" s="4">
        <f t="shared" si="23"/>
        <v>543</v>
      </c>
    </row>
    <row r="397" spans="1:6" x14ac:dyDescent="0.25">
      <c r="A397" s="1" t="s">
        <v>399</v>
      </c>
      <c r="B397" s="2">
        <v>1380</v>
      </c>
      <c r="C397" s="3">
        <f t="shared" si="21"/>
        <v>579.6</v>
      </c>
      <c r="D397" s="3">
        <f t="shared" si="22"/>
        <v>565.79999999999995</v>
      </c>
      <c r="E397" s="4">
        <f t="shared" si="20"/>
        <v>607.20000000000005</v>
      </c>
      <c r="F397" s="4">
        <f t="shared" si="23"/>
        <v>746</v>
      </c>
    </row>
    <row r="398" spans="1:6" x14ac:dyDescent="0.25">
      <c r="A398" s="1" t="s">
        <v>400</v>
      </c>
      <c r="B398" s="2">
        <v>1785</v>
      </c>
      <c r="C398" s="3">
        <f t="shared" si="21"/>
        <v>749.7</v>
      </c>
      <c r="D398" s="3">
        <f t="shared" si="22"/>
        <v>731.84999999999991</v>
      </c>
      <c r="E398" s="4">
        <f t="shared" si="20"/>
        <v>785.4</v>
      </c>
      <c r="F398" s="4">
        <f t="shared" si="23"/>
        <v>964</v>
      </c>
    </row>
    <row r="399" spans="1:6" x14ac:dyDescent="0.25">
      <c r="A399" s="1" t="s">
        <v>401</v>
      </c>
      <c r="B399" s="2">
        <v>3445</v>
      </c>
      <c r="C399" s="3">
        <f t="shared" si="21"/>
        <v>1446.9</v>
      </c>
      <c r="D399" s="3">
        <f t="shared" si="22"/>
        <v>1412.45</v>
      </c>
      <c r="E399" s="4">
        <f t="shared" si="20"/>
        <v>1515.8</v>
      </c>
      <c r="F399" s="4">
        <f t="shared" si="23"/>
        <v>1861</v>
      </c>
    </row>
    <row r="400" spans="1:6" x14ac:dyDescent="0.25">
      <c r="A400" s="1" t="s">
        <v>402</v>
      </c>
      <c r="B400" s="2">
        <v>1210</v>
      </c>
      <c r="C400" s="3">
        <f t="shared" si="21"/>
        <v>508.20000000000005</v>
      </c>
      <c r="D400" s="3">
        <f t="shared" si="22"/>
        <v>496.1</v>
      </c>
      <c r="E400" s="4">
        <f t="shared" si="20"/>
        <v>532.4</v>
      </c>
      <c r="F400" s="4">
        <f t="shared" si="23"/>
        <v>654</v>
      </c>
    </row>
    <row r="401" spans="1:6" x14ac:dyDescent="0.25">
      <c r="A401" s="1" t="s">
        <v>403</v>
      </c>
      <c r="B401" s="2">
        <v>1485</v>
      </c>
      <c r="C401" s="3">
        <f t="shared" si="21"/>
        <v>623.70000000000005</v>
      </c>
      <c r="D401" s="3">
        <f t="shared" si="22"/>
        <v>608.85</v>
      </c>
      <c r="E401" s="4">
        <f t="shared" si="20"/>
        <v>653.4</v>
      </c>
      <c r="F401" s="4">
        <f t="shared" si="23"/>
        <v>802</v>
      </c>
    </row>
    <row r="402" spans="1:6" x14ac:dyDescent="0.25">
      <c r="A402" s="1" t="s">
        <v>404</v>
      </c>
      <c r="B402" s="2">
        <v>1950</v>
      </c>
      <c r="C402" s="3">
        <f t="shared" si="21"/>
        <v>819</v>
      </c>
      <c r="D402" s="3">
        <f t="shared" si="22"/>
        <v>799.5</v>
      </c>
      <c r="E402" s="4">
        <f t="shared" si="20"/>
        <v>858</v>
      </c>
      <c r="F402" s="4">
        <f t="shared" si="23"/>
        <v>1053</v>
      </c>
    </row>
    <row r="403" spans="1:6" x14ac:dyDescent="0.25">
      <c r="A403" s="1" t="s">
        <v>405</v>
      </c>
      <c r="B403" s="2">
        <v>1025</v>
      </c>
      <c r="C403" s="3">
        <f t="shared" si="21"/>
        <v>430.5</v>
      </c>
      <c r="D403" s="3">
        <f t="shared" si="22"/>
        <v>420.25</v>
      </c>
      <c r="E403" s="4">
        <f t="shared" si="20"/>
        <v>451</v>
      </c>
      <c r="F403" s="4">
        <f t="shared" si="23"/>
        <v>554</v>
      </c>
    </row>
    <row r="404" spans="1:6" x14ac:dyDescent="0.25">
      <c r="A404" s="1" t="s">
        <v>406</v>
      </c>
      <c r="B404" s="2">
        <v>1155</v>
      </c>
      <c r="C404" s="3">
        <f t="shared" si="21"/>
        <v>485.1</v>
      </c>
      <c r="D404" s="3">
        <f t="shared" si="22"/>
        <v>473.54999999999995</v>
      </c>
      <c r="E404" s="4">
        <f t="shared" si="20"/>
        <v>508.20000000000005</v>
      </c>
      <c r="F404" s="4">
        <f t="shared" si="23"/>
        <v>624</v>
      </c>
    </row>
    <row r="405" spans="1:6" x14ac:dyDescent="0.25">
      <c r="A405" s="1" t="s">
        <v>407</v>
      </c>
      <c r="B405" s="2">
        <v>1405</v>
      </c>
      <c r="C405" s="3">
        <f t="shared" si="21"/>
        <v>590.1</v>
      </c>
      <c r="D405" s="3">
        <f t="shared" si="22"/>
        <v>576.04999999999995</v>
      </c>
      <c r="E405" s="4">
        <f t="shared" si="20"/>
        <v>618.20000000000005</v>
      </c>
      <c r="F405" s="4">
        <f t="shared" si="23"/>
        <v>759</v>
      </c>
    </row>
    <row r="406" spans="1:6" x14ac:dyDescent="0.25">
      <c r="A406" s="1" t="s">
        <v>408</v>
      </c>
      <c r="B406" s="2">
        <v>1185</v>
      </c>
      <c r="C406" s="3">
        <f t="shared" si="21"/>
        <v>497.70000000000005</v>
      </c>
      <c r="D406" s="3">
        <f t="shared" si="22"/>
        <v>485.85</v>
      </c>
      <c r="E406" s="4">
        <f t="shared" si="20"/>
        <v>521.4</v>
      </c>
      <c r="F406" s="4">
        <f t="shared" si="23"/>
        <v>640</v>
      </c>
    </row>
    <row r="407" spans="1:6" x14ac:dyDescent="0.25">
      <c r="A407" s="1" t="s">
        <v>409</v>
      </c>
      <c r="B407" s="2">
        <v>1670</v>
      </c>
      <c r="C407" s="3">
        <f t="shared" si="21"/>
        <v>701.4</v>
      </c>
      <c r="D407" s="3">
        <f t="shared" si="22"/>
        <v>684.7</v>
      </c>
      <c r="E407" s="4">
        <f t="shared" si="20"/>
        <v>734.8</v>
      </c>
      <c r="F407" s="4">
        <f t="shared" si="23"/>
        <v>902</v>
      </c>
    </row>
    <row r="408" spans="1:6" x14ac:dyDescent="0.25">
      <c r="A408" s="1" t="s">
        <v>410</v>
      </c>
      <c r="B408" s="2">
        <v>2310</v>
      </c>
      <c r="C408" s="3">
        <f t="shared" si="21"/>
        <v>970.2</v>
      </c>
      <c r="D408" s="3">
        <f t="shared" si="22"/>
        <v>947.09999999999991</v>
      </c>
      <c r="E408" s="4">
        <f t="shared" ref="E408:E444" si="24">B408-(B408*56/100)</f>
        <v>1016.4000000000001</v>
      </c>
      <c r="F408" s="4">
        <f t="shared" si="23"/>
        <v>1248</v>
      </c>
    </row>
    <row r="409" spans="1:6" x14ac:dyDescent="0.25">
      <c r="A409" s="1" t="s">
        <v>411</v>
      </c>
      <c r="B409" s="2">
        <v>2725</v>
      </c>
      <c r="C409" s="3">
        <f t="shared" si="21"/>
        <v>1144.5</v>
      </c>
      <c r="D409" s="3">
        <f t="shared" si="22"/>
        <v>1117.25</v>
      </c>
      <c r="E409" s="4">
        <f t="shared" si="24"/>
        <v>1199</v>
      </c>
      <c r="F409" s="4">
        <f t="shared" si="23"/>
        <v>1472</v>
      </c>
    </row>
    <row r="410" spans="1:6" x14ac:dyDescent="0.25">
      <c r="A410" s="1" t="s">
        <v>412</v>
      </c>
      <c r="B410" s="2">
        <v>4100</v>
      </c>
      <c r="C410" s="3">
        <f t="shared" si="21"/>
        <v>1722</v>
      </c>
      <c r="D410" s="3">
        <f t="shared" si="22"/>
        <v>1681</v>
      </c>
      <c r="E410" s="4">
        <f t="shared" si="24"/>
        <v>1804</v>
      </c>
      <c r="F410" s="4">
        <f t="shared" si="23"/>
        <v>2214</v>
      </c>
    </row>
    <row r="411" spans="1:6" x14ac:dyDescent="0.25">
      <c r="A411" s="1" t="s">
        <v>413</v>
      </c>
      <c r="B411" s="2">
        <v>4830</v>
      </c>
      <c r="C411" s="3">
        <f t="shared" si="21"/>
        <v>2028.6</v>
      </c>
      <c r="D411" s="3">
        <f t="shared" si="22"/>
        <v>1980.3000000000002</v>
      </c>
      <c r="E411" s="4">
        <f t="shared" si="24"/>
        <v>2125.1999999999998</v>
      </c>
      <c r="F411" s="4">
        <f t="shared" si="23"/>
        <v>2609</v>
      </c>
    </row>
    <row r="412" spans="1:6" x14ac:dyDescent="0.25">
      <c r="A412" s="1" t="s">
        <v>414</v>
      </c>
      <c r="B412" s="2">
        <v>8105</v>
      </c>
      <c r="C412" s="3">
        <f t="shared" si="21"/>
        <v>3404.1000000000004</v>
      </c>
      <c r="D412" s="3">
        <f t="shared" si="22"/>
        <v>3323.05</v>
      </c>
      <c r="E412" s="4">
        <f t="shared" si="24"/>
        <v>3566.2</v>
      </c>
      <c r="F412" s="4">
        <f t="shared" si="23"/>
        <v>4377</v>
      </c>
    </row>
    <row r="413" spans="1:6" x14ac:dyDescent="0.25">
      <c r="A413" s="1" t="s">
        <v>415</v>
      </c>
      <c r="B413" s="2">
        <v>9025</v>
      </c>
      <c r="C413" s="3">
        <f t="shared" si="21"/>
        <v>3790.5</v>
      </c>
      <c r="D413" s="3">
        <f t="shared" si="22"/>
        <v>3700.25</v>
      </c>
      <c r="E413" s="4">
        <f t="shared" si="24"/>
        <v>3971</v>
      </c>
      <c r="F413" s="4">
        <f t="shared" si="23"/>
        <v>4874</v>
      </c>
    </row>
    <row r="414" spans="1:6" x14ac:dyDescent="0.25">
      <c r="A414" s="1" t="s">
        <v>416</v>
      </c>
      <c r="B414" s="2">
        <v>2445</v>
      </c>
      <c r="C414" s="3">
        <f t="shared" si="21"/>
        <v>1026.9000000000001</v>
      </c>
      <c r="D414" s="3">
        <f t="shared" si="22"/>
        <v>1002.45</v>
      </c>
      <c r="E414" s="4">
        <f t="shared" si="24"/>
        <v>1075.8</v>
      </c>
      <c r="F414" s="4">
        <f t="shared" si="23"/>
        <v>1321</v>
      </c>
    </row>
    <row r="415" spans="1:6" x14ac:dyDescent="0.25">
      <c r="A415" s="1" t="s">
        <v>417</v>
      </c>
      <c r="B415" s="2">
        <v>4060</v>
      </c>
      <c r="C415" s="3">
        <f t="shared" si="21"/>
        <v>1705.1999999999998</v>
      </c>
      <c r="D415" s="3">
        <f t="shared" si="22"/>
        <v>1664.6</v>
      </c>
      <c r="E415" s="4">
        <f t="shared" si="24"/>
        <v>1786.4</v>
      </c>
      <c r="F415" s="4">
        <f t="shared" si="23"/>
        <v>2193</v>
      </c>
    </row>
    <row r="416" spans="1:6" x14ac:dyDescent="0.25">
      <c r="A416" s="1" t="s">
        <v>418</v>
      </c>
      <c r="B416" s="2">
        <v>1155</v>
      </c>
      <c r="C416" s="3">
        <f t="shared" si="21"/>
        <v>485.1</v>
      </c>
      <c r="D416" s="3">
        <f t="shared" si="22"/>
        <v>473.54999999999995</v>
      </c>
      <c r="E416" s="4">
        <f t="shared" si="24"/>
        <v>508.20000000000005</v>
      </c>
      <c r="F416" s="4">
        <f t="shared" si="23"/>
        <v>624</v>
      </c>
    </row>
    <row r="417" spans="1:6" x14ac:dyDescent="0.25">
      <c r="A417" s="1" t="s">
        <v>419</v>
      </c>
      <c r="B417" s="2">
        <v>4680</v>
      </c>
      <c r="C417" s="3">
        <f t="shared" ref="C417:C444" si="25">B417-(B417*58/100)</f>
        <v>1965.6</v>
      </c>
      <c r="D417" s="3">
        <f t="shared" ref="D417:D444" si="26">B417-(B417*59/100)</f>
        <v>1918.8000000000002</v>
      </c>
      <c r="E417" s="4">
        <f t="shared" si="24"/>
        <v>2059.1999999999998</v>
      </c>
      <c r="F417" s="4">
        <f t="shared" ref="F417:F444" si="27">ROUNDUP(B417-(B417*46/100),0)</f>
        <v>2528</v>
      </c>
    </row>
    <row r="418" spans="1:6" x14ac:dyDescent="0.25">
      <c r="A418" s="1" t="s">
        <v>420</v>
      </c>
      <c r="B418" s="2">
        <v>6855</v>
      </c>
      <c r="C418" s="3">
        <f t="shared" si="25"/>
        <v>2879.1</v>
      </c>
      <c r="D418" s="3">
        <f t="shared" si="26"/>
        <v>2810.55</v>
      </c>
      <c r="E418" s="4">
        <f t="shared" si="24"/>
        <v>3016.2</v>
      </c>
      <c r="F418" s="4">
        <f t="shared" si="27"/>
        <v>3702</v>
      </c>
    </row>
    <row r="419" spans="1:6" x14ac:dyDescent="0.25">
      <c r="A419" s="1" t="s">
        <v>421</v>
      </c>
      <c r="B419" s="2">
        <v>8130</v>
      </c>
      <c r="C419" s="3">
        <f t="shared" si="25"/>
        <v>3414.6000000000004</v>
      </c>
      <c r="D419" s="3">
        <f t="shared" si="26"/>
        <v>3333.3</v>
      </c>
      <c r="E419" s="4">
        <f t="shared" si="24"/>
        <v>3577.2</v>
      </c>
      <c r="F419" s="4">
        <f t="shared" si="27"/>
        <v>4391</v>
      </c>
    </row>
    <row r="420" spans="1:6" x14ac:dyDescent="0.25">
      <c r="A420" s="1" t="s">
        <v>422</v>
      </c>
      <c r="B420" s="2">
        <v>9430</v>
      </c>
      <c r="C420" s="3">
        <f t="shared" si="25"/>
        <v>3960.6000000000004</v>
      </c>
      <c r="D420" s="3">
        <f t="shared" si="26"/>
        <v>3866.3</v>
      </c>
      <c r="E420" s="4">
        <f t="shared" si="24"/>
        <v>4149.2</v>
      </c>
      <c r="F420" s="4">
        <f t="shared" si="27"/>
        <v>5093</v>
      </c>
    </row>
    <row r="421" spans="1:6" x14ac:dyDescent="0.25">
      <c r="A421" s="1" t="s">
        <v>423</v>
      </c>
      <c r="B421" s="2">
        <v>1280</v>
      </c>
      <c r="C421" s="3">
        <f t="shared" si="25"/>
        <v>537.6</v>
      </c>
      <c r="D421" s="3">
        <f t="shared" si="26"/>
        <v>524.79999999999995</v>
      </c>
      <c r="E421" s="4">
        <f t="shared" si="24"/>
        <v>563.20000000000005</v>
      </c>
      <c r="F421" s="4">
        <f t="shared" si="27"/>
        <v>692</v>
      </c>
    </row>
    <row r="422" spans="1:6" x14ac:dyDescent="0.25">
      <c r="A422" s="1" t="s">
        <v>424</v>
      </c>
      <c r="B422" s="2">
        <v>1415</v>
      </c>
      <c r="C422" s="3">
        <f t="shared" si="25"/>
        <v>594.29999999999995</v>
      </c>
      <c r="D422" s="3">
        <f t="shared" si="26"/>
        <v>580.15</v>
      </c>
      <c r="E422" s="4">
        <f t="shared" si="24"/>
        <v>622.6</v>
      </c>
      <c r="F422" s="4">
        <f t="shared" si="27"/>
        <v>765</v>
      </c>
    </row>
    <row r="423" spans="1:6" x14ac:dyDescent="0.25">
      <c r="A423" s="1" t="s">
        <v>425</v>
      </c>
      <c r="B423" s="2">
        <v>1495</v>
      </c>
      <c r="C423" s="3">
        <f t="shared" si="25"/>
        <v>627.9</v>
      </c>
      <c r="D423" s="3">
        <f t="shared" si="26"/>
        <v>612.95000000000005</v>
      </c>
      <c r="E423" s="4">
        <f t="shared" si="24"/>
        <v>657.8</v>
      </c>
      <c r="F423" s="4">
        <f t="shared" si="27"/>
        <v>808</v>
      </c>
    </row>
    <row r="424" spans="1:6" x14ac:dyDescent="0.25">
      <c r="A424" s="1" t="s">
        <v>426</v>
      </c>
      <c r="B424" s="2">
        <v>1630</v>
      </c>
      <c r="C424" s="3">
        <f t="shared" si="25"/>
        <v>684.6</v>
      </c>
      <c r="D424" s="3">
        <f t="shared" si="26"/>
        <v>668.3</v>
      </c>
      <c r="E424" s="4">
        <f t="shared" si="24"/>
        <v>717.2</v>
      </c>
      <c r="F424" s="4">
        <f t="shared" si="27"/>
        <v>881</v>
      </c>
    </row>
    <row r="425" spans="1:6" x14ac:dyDescent="0.25">
      <c r="A425" s="1" t="s">
        <v>427</v>
      </c>
      <c r="B425" s="2">
        <v>2140</v>
      </c>
      <c r="C425" s="3">
        <f t="shared" si="25"/>
        <v>898.8</v>
      </c>
      <c r="D425" s="3">
        <f t="shared" si="26"/>
        <v>877.40000000000009</v>
      </c>
      <c r="E425" s="4">
        <f t="shared" si="24"/>
        <v>941.59999999999991</v>
      </c>
      <c r="F425" s="4">
        <f t="shared" si="27"/>
        <v>1156</v>
      </c>
    </row>
    <row r="426" spans="1:6" x14ac:dyDescent="0.25">
      <c r="A426" s="1" t="s">
        <v>428</v>
      </c>
      <c r="B426" s="2">
        <v>2285</v>
      </c>
      <c r="C426" s="3">
        <f t="shared" si="25"/>
        <v>959.7</v>
      </c>
      <c r="D426" s="3">
        <f t="shared" si="26"/>
        <v>936.84999999999991</v>
      </c>
      <c r="E426" s="4">
        <f t="shared" si="24"/>
        <v>1005.4000000000001</v>
      </c>
      <c r="F426" s="4">
        <f t="shared" si="27"/>
        <v>1234</v>
      </c>
    </row>
    <row r="427" spans="1:6" x14ac:dyDescent="0.25">
      <c r="A427" s="1" t="s">
        <v>429</v>
      </c>
      <c r="B427" s="2">
        <v>2080</v>
      </c>
      <c r="C427" s="3">
        <f t="shared" si="25"/>
        <v>873.59999999999991</v>
      </c>
      <c r="D427" s="3">
        <f t="shared" si="26"/>
        <v>852.8</v>
      </c>
      <c r="E427" s="4">
        <f t="shared" si="24"/>
        <v>915.2</v>
      </c>
      <c r="F427" s="4">
        <f t="shared" si="27"/>
        <v>1124</v>
      </c>
    </row>
    <row r="428" spans="1:6" x14ac:dyDescent="0.25">
      <c r="A428" s="1" t="s">
        <v>430</v>
      </c>
      <c r="B428" s="2">
        <v>2080</v>
      </c>
      <c r="C428" s="3">
        <f t="shared" si="25"/>
        <v>873.59999999999991</v>
      </c>
      <c r="D428" s="3">
        <f t="shared" si="26"/>
        <v>852.8</v>
      </c>
      <c r="E428" s="4">
        <f t="shared" si="24"/>
        <v>915.2</v>
      </c>
      <c r="F428" s="4">
        <f t="shared" si="27"/>
        <v>1124</v>
      </c>
    </row>
    <row r="429" spans="1:6" x14ac:dyDescent="0.25">
      <c r="A429" s="1" t="s">
        <v>431</v>
      </c>
      <c r="B429" s="2">
        <v>2080</v>
      </c>
      <c r="C429" s="3">
        <f t="shared" si="25"/>
        <v>873.59999999999991</v>
      </c>
      <c r="D429" s="3">
        <f t="shared" si="26"/>
        <v>852.8</v>
      </c>
      <c r="E429" s="4">
        <f t="shared" si="24"/>
        <v>915.2</v>
      </c>
      <c r="F429" s="4">
        <f t="shared" si="27"/>
        <v>1124</v>
      </c>
    </row>
    <row r="430" spans="1:6" x14ac:dyDescent="0.25">
      <c r="A430" s="1" t="s">
        <v>432</v>
      </c>
      <c r="B430" s="2">
        <v>2080</v>
      </c>
      <c r="C430" s="3">
        <f t="shared" si="25"/>
        <v>873.59999999999991</v>
      </c>
      <c r="D430" s="3">
        <f t="shared" si="26"/>
        <v>852.8</v>
      </c>
      <c r="E430" s="4">
        <f t="shared" si="24"/>
        <v>915.2</v>
      </c>
      <c r="F430" s="4">
        <f t="shared" si="27"/>
        <v>1124</v>
      </c>
    </row>
    <row r="431" spans="1:6" x14ac:dyDescent="0.25">
      <c r="A431" s="1" t="s">
        <v>433</v>
      </c>
      <c r="B431" s="2">
        <v>2030</v>
      </c>
      <c r="C431" s="3">
        <f t="shared" si="25"/>
        <v>852.59999999999991</v>
      </c>
      <c r="D431" s="3">
        <f t="shared" si="26"/>
        <v>832.3</v>
      </c>
      <c r="E431" s="4">
        <f t="shared" si="24"/>
        <v>893.2</v>
      </c>
      <c r="F431" s="4">
        <f t="shared" si="27"/>
        <v>1097</v>
      </c>
    </row>
    <row r="432" spans="1:6" x14ac:dyDescent="0.25">
      <c r="A432" s="1" t="s">
        <v>434</v>
      </c>
      <c r="B432" s="2">
        <v>1905</v>
      </c>
      <c r="C432" s="3">
        <f t="shared" si="25"/>
        <v>800.09999999999991</v>
      </c>
      <c r="D432" s="3">
        <f t="shared" si="26"/>
        <v>781.05</v>
      </c>
      <c r="E432" s="4">
        <f t="shared" si="24"/>
        <v>838.2</v>
      </c>
      <c r="F432" s="4">
        <f t="shared" si="27"/>
        <v>1029</v>
      </c>
    </row>
    <row r="433" spans="1:6" x14ac:dyDescent="0.25">
      <c r="A433" s="1" t="s">
        <v>435</v>
      </c>
      <c r="B433" s="2">
        <v>2045</v>
      </c>
      <c r="C433" s="3">
        <f t="shared" si="25"/>
        <v>858.90000000000009</v>
      </c>
      <c r="D433" s="3">
        <f t="shared" si="26"/>
        <v>838.45</v>
      </c>
      <c r="E433" s="4">
        <f t="shared" si="24"/>
        <v>899.8</v>
      </c>
      <c r="F433" s="4">
        <f t="shared" si="27"/>
        <v>1105</v>
      </c>
    </row>
    <row r="434" spans="1:6" x14ac:dyDescent="0.25">
      <c r="A434" s="1" t="s">
        <v>436</v>
      </c>
      <c r="B434" s="2">
        <v>1915</v>
      </c>
      <c r="C434" s="3">
        <f t="shared" si="25"/>
        <v>804.3</v>
      </c>
      <c r="D434" s="3">
        <f t="shared" si="26"/>
        <v>785.15000000000009</v>
      </c>
      <c r="E434" s="4">
        <f t="shared" si="24"/>
        <v>842.59999999999991</v>
      </c>
      <c r="F434" s="4">
        <f t="shared" si="27"/>
        <v>1035</v>
      </c>
    </row>
    <row r="435" spans="1:6" x14ac:dyDescent="0.25">
      <c r="A435" s="1" t="s">
        <v>437</v>
      </c>
      <c r="B435" s="2">
        <v>2275</v>
      </c>
      <c r="C435" s="3">
        <f t="shared" si="25"/>
        <v>955.5</v>
      </c>
      <c r="D435" s="3">
        <f t="shared" si="26"/>
        <v>932.75</v>
      </c>
      <c r="E435" s="4">
        <f t="shared" si="24"/>
        <v>1001</v>
      </c>
      <c r="F435" s="4">
        <f t="shared" si="27"/>
        <v>1229</v>
      </c>
    </row>
    <row r="436" spans="1:6" x14ac:dyDescent="0.25">
      <c r="A436" s="1" t="s">
        <v>438</v>
      </c>
      <c r="B436" s="2">
        <v>2275</v>
      </c>
      <c r="C436" s="3">
        <f t="shared" si="25"/>
        <v>955.5</v>
      </c>
      <c r="D436" s="3">
        <f t="shared" si="26"/>
        <v>932.75</v>
      </c>
      <c r="E436" s="4">
        <f t="shared" si="24"/>
        <v>1001</v>
      </c>
      <c r="F436" s="4">
        <f t="shared" si="27"/>
        <v>1229</v>
      </c>
    </row>
    <row r="437" spans="1:6" x14ac:dyDescent="0.25">
      <c r="A437" s="1" t="s">
        <v>439</v>
      </c>
      <c r="B437" s="2">
        <v>5360</v>
      </c>
      <c r="C437" s="3">
        <f t="shared" si="25"/>
        <v>2251.1999999999998</v>
      </c>
      <c r="D437" s="3">
        <f t="shared" si="26"/>
        <v>2197.6</v>
      </c>
      <c r="E437" s="4">
        <f t="shared" si="24"/>
        <v>2358.4</v>
      </c>
      <c r="F437" s="4">
        <f t="shared" si="27"/>
        <v>2895</v>
      </c>
    </row>
    <row r="438" spans="1:6" x14ac:dyDescent="0.25">
      <c r="A438" s="1" t="s">
        <v>440</v>
      </c>
      <c r="B438" s="2">
        <v>7580</v>
      </c>
      <c r="C438" s="3">
        <f t="shared" si="25"/>
        <v>3183.6000000000004</v>
      </c>
      <c r="D438" s="3">
        <f t="shared" si="26"/>
        <v>3107.8</v>
      </c>
      <c r="E438" s="4">
        <f t="shared" si="24"/>
        <v>3335.2</v>
      </c>
      <c r="F438" s="4">
        <f t="shared" si="27"/>
        <v>4094</v>
      </c>
    </row>
    <row r="439" spans="1:6" x14ac:dyDescent="0.25">
      <c r="A439" s="1" t="s">
        <v>441</v>
      </c>
      <c r="B439" s="2">
        <v>9205</v>
      </c>
      <c r="C439" s="3">
        <f t="shared" si="25"/>
        <v>3866.1000000000004</v>
      </c>
      <c r="D439" s="3">
        <f t="shared" si="26"/>
        <v>3774.05</v>
      </c>
      <c r="E439" s="4">
        <f t="shared" si="24"/>
        <v>4050.2</v>
      </c>
      <c r="F439" s="4">
        <f t="shared" si="27"/>
        <v>4971</v>
      </c>
    </row>
    <row r="440" spans="1:6" x14ac:dyDescent="0.25">
      <c r="A440" s="1" t="s">
        <v>442</v>
      </c>
      <c r="B440" s="2">
        <v>14830</v>
      </c>
      <c r="C440" s="3">
        <f t="shared" si="25"/>
        <v>6228.6</v>
      </c>
      <c r="D440" s="3">
        <f t="shared" si="26"/>
        <v>6080.2999999999993</v>
      </c>
      <c r="E440" s="4">
        <f t="shared" si="24"/>
        <v>6525.2000000000007</v>
      </c>
      <c r="F440" s="4">
        <f t="shared" si="27"/>
        <v>8009</v>
      </c>
    </row>
    <row r="441" spans="1:6" x14ac:dyDescent="0.25">
      <c r="A441" s="1" t="s">
        <v>443</v>
      </c>
      <c r="B441" s="2">
        <v>5360</v>
      </c>
      <c r="C441" s="3">
        <f t="shared" si="25"/>
        <v>2251.1999999999998</v>
      </c>
      <c r="D441" s="3">
        <f t="shared" si="26"/>
        <v>2197.6</v>
      </c>
      <c r="E441" s="4">
        <f t="shared" si="24"/>
        <v>2358.4</v>
      </c>
      <c r="F441" s="4">
        <f t="shared" si="27"/>
        <v>2895</v>
      </c>
    </row>
    <row r="442" spans="1:6" x14ac:dyDescent="0.25">
      <c r="A442" s="1" t="s">
        <v>444</v>
      </c>
      <c r="B442" s="2">
        <v>9205</v>
      </c>
      <c r="C442" s="3">
        <f t="shared" si="25"/>
        <v>3866.1000000000004</v>
      </c>
      <c r="D442" s="3">
        <f t="shared" si="26"/>
        <v>3774.05</v>
      </c>
      <c r="E442" s="4">
        <f t="shared" si="24"/>
        <v>4050.2</v>
      </c>
      <c r="F442" s="4">
        <f t="shared" si="27"/>
        <v>4971</v>
      </c>
    </row>
    <row r="443" spans="1:6" x14ac:dyDescent="0.25">
      <c r="A443" s="1" t="s">
        <v>445</v>
      </c>
      <c r="B443" s="6">
        <v>142</v>
      </c>
      <c r="C443" s="7">
        <f t="shared" si="25"/>
        <v>59.64</v>
      </c>
      <c r="D443" s="7">
        <f t="shared" si="26"/>
        <v>58.22</v>
      </c>
      <c r="E443" s="8">
        <f t="shared" si="24"/>
        <v>62.480000000000004</v>
      </c>
      <c r="F443" s="8">
        <f t="shared" si="27"/>
        <v>77</v>
      </c>
    </row>
    <row r="444" spans="1:6" x14ac:dyDescent="0.25">
      <c r="A444" s="1" t="s">
        <v>446</v>
      </c>
      <c r="B444" s="6">
        <v>196</v>
      </c>
      <c r="C444" s="7">
        <f t="shared" si="25"/>
        <v>82.32</v>
      </c>
      <c r="D444" s="7">
        <f t="shared" si="26"/>
        <v>80.36</v>
      </c>
      <c r="E444" s="8">
        <f t="shared" si="24"/>
        <v>86.24</v>
      </c>
      <c r="F444" s="8">
        <f t="shared" si="27"/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Rahman</dc:creator>
  <cp:lastModifiedBy>Syed Rahman</cp:lastModifiedBy>
  <dcterms:created xsi:type="dcterms:W3CDTF">2025-11-30T08:06:24Z</dcterms:created>
  <dcterms:modified xsi:type="dcterms:W3CDTF">2025-11-30T08:46:14Z</dcterms:modified>
</cp:coreProperties>
</file>